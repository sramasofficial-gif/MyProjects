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Findings" sheetId="2" state="visible" r:id="rId2"/>
    <sheet name="Passed Checks" sheetId="3" state="visible" r:id="rId3"/>
    <sheet name="Manual Review" sheetId="4" state="visible" r:id="rId4"/>
    <sheet name="Review Errors" sheetId="5" state="visible" r:id="rId5"/>
    <sheet name="AI Telemetry" sheetId="6" state="visible" r:id="rId6"/>
    <sheet name="Scope Coverage" sheetId="7" state="visible" r:id="rId7"/>
    <sheet name="Model Usage" sheetId="8" state="visible" r:id="rId8"/>
    <sheet name="Section Inventory" sheetId="9" state="visible" r:id="rId9"/>
    <sheet name="Read Me" sheetId="10" state="visible" r:id="rId10"/>
  </sheets>
  <definedNames>
    <definedName name="_xlnm._FilterDatabase" localSheetId="1" hidden="1">'Findings'!$A$1:$M$8</definedName>
    <definedName name="_xlnm._FilterDatabase" localSheetId="2" hidden="1">'Passed Checks'!$A$1:$F$4</definedName>
    <definedName name="_xlnm._FilterDatabase" localSheetId="3" hidden="1">'Manual Review'!$A$1:$D$4</definedName>
    <definedName name="_xlnm._FilterDatabase" localSheetId="4" hidden="1">'Review Errors'!$A$1:$D$1</definedName>
    <definedName name="_xlnm._FilterDatabase" localSheetId="5" hidden="1">'AI Telemetry'!$A$1:$X$2</definedName>
    <definedName name="_xlnm._FilterDatabase" localSheetId="6" hidden="1">'Scope Coverage'!$A$1:$D$5</definedName>
    <definedName name="_xlnm._FilterDatabase" localSheetId="7" hidden="1">'Model Usage'!$A$1:$F$2</definedName>
  </definedNames>
  <calcPr calcId="124519" fullCalcOnLoad="1"/>
</workbook>
</file>

<file path=xl/styles.xml><?xml version="1.0" encoding="utf-8"?>
<styleSheet xmlns="http://schemas.openxmlformats.org/spreadsheetml/2006/main">
  <numFmts count="1">
    <numFmt numFmtId="164" formatCode="0.000000"/>
  </numFmts>
  <fonts count="4">
    <font>
      <name val="Calibri"/>
      <family val="2"/>
      <color theme="1"/>
      <sz val="11"/>
      <scheme val="minor"/>
    </font>
    <font>
      <b val="1"/>
      <color rgb="00FFFFFF"/>
      <sz val="18"/>
    </font>
    <font>
      <b val="1"/>
      <color rgb="004A5A6B"/>
    </font>
    <font>
      <b val="1"/>
      <color rgb="00FFFFFF"/>
    </font>
  </fonts>
  <fills count="8">
    <fill>
      <patternFill/>
    </fill>
    <fill>
      <patternFill patternType="gray125"/>
    </fill>
    <fill>
      <patternFill patternType="solid">
        <fgColor rgb="0016324F"/>
      </patternFill>
    </fill>
    <fill>
      <patternFill patternType="solid">
        <fgColor rgb="00EEF1F4"/>
      </patternFill>
    </fill>
    <fill>
      <patternFill patternType="solid">
        <fgColor rgb="002A5B8C"/>
      </patternFill>
    </fill>
    <fill>
      <patternFill patternType="solid">
        <fgColor rgb="00FCE4D6"/>
      </patternFill>
    </fill>
    <fill>
      <patternFill patternType="solid">
        <fgColor rgb="00FBEAD9"/>
      </patternFill>
    </fill>
    <fill>
      <patternFill patternType="solid">
        <fgColor rgb="00FFF2CC"/>
      </patternFill>
    </fill>
  </fills>
  <borders count="2">
    <border>
      <left/>
      <right/>
      <top/>
      <bottom/>
      <diagonal/>
    </border>
    <border>
      <bottom style="thin">
        <color rgb="00D9E0E7"/>
      </bottom>
    </border>
  </borders>
  <cellStyleXfs count="1">
    <xf numFmtId="0" fontId="0" fillId="0" borderId="0"/>
  </cellStyleXfs>
  <cellXfs count="10">
    <xf numFmtId="0" fontId="0" fillId="0" borderId="0" pivotButton="0" quotePrefix="0" xfId="0"/>
    <xf numFmtId="0" fontId="1" fillId="2" borderId="0" pivotButton="0" quotePrefix="0" xfId="0"/>
    <xf numFmtId="0" fontId="2" fillId="3" borderId="0" pivotButton="0" quotePrefix="0" xfId="0"/>
    <xf numFmtId="0" fontId="0" fillId="0" borderId="0" applyAlignment="1" pivotButton="0" quotePrefix="0" xfId="0">
      <alignment vertical="top" wrapText="1"/>
    </xf>
    <xf numFmtId="164" fontId="0" fillId="0" borderId="0" applyAlignment="1" pivotButton="0" quotePrefix="0" xfId="0">
      <alignment vertical="top" wrapText="1"/>
    </xf>
    <xf numFmtId="0" fontId="3" fillId="4" borderId="0" applyAlignment="1" pivotButton="0" quotePrefix="0" xfId="0">
      <alignment vertical="center" wrapText="1"/>
    </xf>
    <xf numFmtId="0" fontId="0" fillId="0"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RowHeight="15"/>
  <cols>
    <col width="28" customWidth="1" min="1" max="1"/>
    <col width="78" customWidth="1" min="2" max="2"/>
    <col width="18" customWidth="1" min="3" max="3"/>
    <col width="18" customWidth="1" min="4" max="4"/>
    <col width="18" customWidth="1" min="5" max="5"/>
    <col width="18" customWidth="1" min="6" max="6"/>
  </cols>
  <sheetData>
    <row r="1">
      <c r="A1" s="1" t="inlineStr">
        <is>
          <t>IVR SDLC Automated Analyst Platform - HLD Review</t>
        </is>
      </c>
    </row>
    <row r="3">
      <c r="A3" s="2" t="inlineStr">
        <is>
          <t>Document</t>
        </is>
      </c>
      <c r="B3" s="3" t="inlineStr">
        <is>
          <t>https://reqcentral.com/wiki/spaces/FES/pages/1143493583/High+Level+Design+Document+-+Contact+Center+-+BAU+R12.0#HighLevelDesignDocumentContactCenterBAUR12.0-2.6.2DataLifecycleandRetention</t>
        </is>
      </c>
    </row>
    <row r="4">
      <c r="A4" s="2" t="inlineStr">
        <is>
          <t>Review status</t>
        </is>
      </c>
      <c r="B4" s="3" t="inlineStr">
        <is>
          <t>FINDINGS</t>
        </is>
      </c>
    </row>
    <row r="5">
      <c r="A5" s="2" t="inlineStr">
        <is>
          <t>Sections reviewed</t>
        </is>
      </c>
      <c r="B5" s="3" t="n">
        <v>1</v>
      </c>
    </row>
    <row r="6">
      <c r="A6" s="2" t="inlineStr">
        <is>
          <t>Findings</t>
        </is>
      </c>
      <c r="B6" s="3">
        <f>COUNTA(Findings!A:A)-1</f>
        <v/>
      </c>
    </row>
    <row r="7">
      <c r="A7" s="2" t="inlineStr">
        <is>
          <t>Passed checks</t>
        </is>
      </c>
      <c r="B7" s="3">
        <f>COUNTA('Passed Checks'!A:A)-1</f>
        <v/>
      </c>
    </row>
    <row r="8">
      <c r="A8" s="2" t="inlineStr">
        <is>
          <t>Manual review</t>
        </is>
      </c>
      <c r="B8" s="3">
        <f>COUNTA('Manual Review'!A:A)-1</f>
        <v/>
      </c>
    </row>
    <row r="9">
      <c r="A9" s="2" t="inlineStr">
        <is>
          <t>Review errors</t>
        </is>
      </c>
      <c r="B9" s="3">
        <f>COUNTA('Review Errors'!A:A)-1</f>
        <v/>
      </c>
    </row>
    <row r="11">
      <c r="A11" s="2" t="inlineStr">
        <is>
          <t>Actual model calls</t>
        </is>
      </c>
      <c r="B11" s="3" t="n">
        <v>1</v>
      </c>
    </row>
    <row r="12">
      <c r="A12" s="2" t="inlineStr">
        <is>
          <t>Actual input tokens</t>
        </is>
      </c>
      <c r="B12" s="3" t="n">
        <v>28001</v>
      </c>
    </row>
    <row r="13">
      <c r="A13" s="2" t="inlineStr">
        <is>
          <t>Actual output tokens</t>
        </is>
      </c>
      <c r="B13" s="3" t="n">
        <v>6154</v>
      </c>
    </row>
    <row r="14">
      <c r="A14" s="2" t="inlineStr">
        <is>
          <t>Actual reasoning tokens</t>
        </is>
      </c>
      <c r="B14" s="3" t="n">
        <v>1053</v>
      </c>
    </row>
    <row r="15">
      <c r="A15" s="2" t="inlineStr">
        <is>
          <t>SDK AI credits</t>
        </is>
      </c>
      <c r="B15" s="4" t="n">
        <v>13.15415</v>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
  <sheetViews>
    <sheetView showGridLines="0" workbookViewId="0">
      <pane ySplit="1" topLeftCell="A2" activePane="bottomLeft" state="frozen"/>
      <selection pane="bottomLeft" activeCell="A1" sqref="A1"/>
    </sheetView>
  </sheetViews>
  <sheetFormatPr baseColWidth="8" defaultRowHeight="15"/>
  <cols>
    <col width="14" customWidth="1" min="1" max="1"/>
    <col width="16" customWidth="1" min="2" max="2"/>
    <col width="22" customWidth="1" min="3" max="3"/>
    <col width="13" customWidth="1" min="4" max="4"/>
    <col width="40" customWidth="1" min="5" max="5"/>
    <col width="60" customWidth="1" min="6" max="6"/>
    <col width="45" customWidth="1" min="7" max="7"/>
    <col width="55" customWidth="1" min="8" max="8"/>
    <col width="50" customWidth="1" min="9" max="9"/>
    <col width="55" customWidth="1" min="10" max="10"/>
    <col width="12" customWidth="1" min="11" max="11"/>
    <col width="60" customWidth="1" min="12" max="12"/>
    <col width="15" customWidth="1" min="13" max="13"/>
  </cols>
  <sheetData>
    <row r="1" ht="28" customHeight="1">
      <c r="A1" s="5" t="inlineStr">
        <is>
          <t>Finding ID</t>
        </is>
      </c>
      <c r="B1" s="5" t="inlineStr">
        <is>
          <t>Scope</t>
        </is>
      </c>
      <c r="C1" s="5" t="inlineStr">
        <is>
          <t>Category</t>
        </is>
      </c>
      <c r="D1" s="5" t="inlineStr">
        <is>
          <t>Severity</t>
        </is>
      </c>
      <c r="E1" s="5" t="inlineStr">
        <is>
          <t>Title</t>
        </is>
      </c>
      <c r="F1" s="5" t="inlineStr">
        <is>
          <t>Finding</t>
        </is>
      </c>
      <c r="G1" s="5" t="inlineStr">
        <is>
          <t>Evidence - Text</t>
        </is>
      </c>
      <c r="H1" s="5" t="inlineStr">
        <is>
          <t>Evidence - Visual</t>
        </is>
      </c>
      <c r="I1" s="5" t="inlineStr">
        <is>
          <t>Impact</t>
        </is>
      </c>
      <c r="J1" s="5" t="inlineStr">
        <is>
          <t>Recommendation</t>
        </is>
      </c>
      <c r="K1" s="5" t="inlineStr">
        <is>
          <t>Confidence</t>
        </is>
      </c>
      <c r="L1" s="5" t="inlineStr">
        <is>
          <t>Section Reference</t>
        </is>
      </c>
      <c r="M1" s="5" t="inlineStr">
        <is>
          <t>Visual Reviewed</t>
        </is>
      </c>
    </row>
    <row r="2">
      <c r="A2" s="6" t="inlineStr">
        <is>
          <t>F-001</t>
        </is>
      </c>
      <c r="B2" s="6" t="inlineStr">
        <is>
          <t>security</t>
        </is>
      </c>
      <c r="C2" s="6" t="inlineStr">
        <is>
          <t>Network Security</t>
        </is>
      </c>
      <c r="D2" s="7" t="inlineStr">
        <is>
          <t>High</t>
        </is>
      </c>
      <c r="E2" s="6" t="inlineStr">
        <is>
          <t>PCI use case 4 (GetAccountByANI) bypasses CDE VPC boundary</t>
        </is>
      </c>
      <c r="F2" s="6" t="inlineStr">
        <is>
          <t>PCI use cases 1-3 (GetAccountByCard, Set/Update PIN, Verify PIN) are routed through the 'CDE VPC' sub-boundary before reaching TSYS, but PCI use case 4 (GetAccountByANI) is shown as a separate box outside the CDE VPC, flowing directly through 'Create TSYS Interaction' and the RCI Egress + Firewall path to TSYS.</t>
        </is>
      </c>
      <c r="G2" s="6" t="inlineStr">
        <is>
          <t>PCI use cases: 1. GetAccountByCard 2. Set/Update PIN 3. Verify PIN ... PCI use cases: 4. GetAccountByANI ... Create TSYS Interaction</t>
        </is>
      </c>
      <c r="H2" s="6" t="inlineStr">
        <is>
          <t>The diagram shows PCI use cases 1-3 inside a box with an arrow into 'CDE VPC', while PCI use case 4 is a separate box below with its own arrow directly to 'Create TSYS Interaction', not passing through CDE VPC.</t>
        </is>
      </c>
      <c r="I2" s="6" t="inlineStr">
        <is>
          <t>If all PCI use cases are expected to be governed under the same CDE network isolation, an ANI-based PCI lookup that does not traverse the CDE VPC could represent an inconsistent scope boundary for PCI-DSS controls (e.g., segmentation, monitoring) applied to cardholder-data-adjacent flows.</t>
        </is>
      </c>
      <c r="J2" s="6" t="inlineStr">
        <is>
          <t>Confirm whether GetAccountByANI is intentionally exempt from CDE VPC routing; if not, clarify or correct the diagram, and document the compensating control if the exemption is intentional.</t>
        </is>
      </c>
      <c r="K2" s="6" t="n">
        <v>0.6</v>
      </c>
      <c r="L2" s="6" t="inlineStr">
        <is>
          <t>RBConnect Context Diagram - CDE AWS Account / CDE VPC / PCI use cases</t>
        </is>
      </c>
      <c r="M2" s="6" t="inlineStr">
        <is>
          <t>No</t>
        </is>
      </c>
    </row>
    <row r="3">
      <c r="A3" s="6" t="inlineStr">
        <is>
          <t>F-002</t>
        </is>
      </c>
      <c r="B3" s="6" t="inlineStr">
        <is>
          <t>architecture</t>
        </is>
      </c>
      <c r="C3" s="6" t="inlineStr">
        <is>
          <t>Component Boundary</t>
        </is>
      </c>
      <c r="D3" s="8" t="inlineStr">
        <is>
          <t>Medium</t>
        </is>
      </c>
      <c r="E3" s="6" t="inlineStr">
        <is>
          <t>Amazon Connect placement straddles CDE and Rogers Bank account boundaries</t>
        </is>
      </c>
      <c r="F3" s="6" t="inlineStr">
        <is>
          <t>The Amazon Connect component is drawn overlapping the red 'CDE AWS Account' boundary and the orange 'Rogers Bank Default AWS Account' boundary rather than being clearly contained within one account boundary.</t>
        </is>
      </c>
      <c r="G3" s="6" t="inlineStr">
        <is>
          <t>CDE AWS Account ... Rogers Bank Default AWS Account</t>
        </is>
      </c>
      <c r="H3" s="6" t="inlineStr">
        <is>
          <t>The Amazon Connect icon/box visually crosses the red CDE AWS Account outline and the underlying orange Rogers Bank Default AWS Account outline, with the account boundary line passing through the component.</t>
        </is>
      </c>
      <c r="I3" s="6" t="inlineStr">
        <is>
          <t>Ambiguous account boundary placement for a component handling both PCI and non-PCI call flows creates uncertainty about which account's IAM, logging, and network controls actually govern Amazon Connect, complicating compliance scoping.</t>
        </is>
      </c>
      <c r="J3" s="6" t="inlineStr">
        <is>
          <t>Redraw the diagram so Amazon Connect is clearly assigned to a single AWS account boundary, or explicitly annotate if it is intentionally a shared/cross-account service.</t>
        </is>
      </c>
      <c r="K3" s="6" t="n">
        <v>0.55</v>
      </c>
      <c r="L3" s="6" t="inlineStr">
        <is>
          <t>RBConnect Context Diagram - Amazon Connect placement</t>
        </is>
      </c>
      <c r="M3" s="6" t="inlineStr">
        <is>
          <t>No</t>
        </is>
      </c>
    </row>
    <row r="4">
      <c r="A4" s="6" t="inlineStr">
        <is>
          <t>F-003</t>
        </is>
      </c>
      <c r="B4" s="6" t="inlineStr">
        <is>
          <t>security</t>
        </is>
      </c>
      <c r="C4" s="6" t="inlineStr">
        <is>
          <t>IAM</t>
        </is>
      </c>
      <c r="D4" s="8" t="inlineStr">
        <is>
          <t>Medium</t>
        </is>
      </c>
      <c r="E4" s="6" t="inlineStr">
        <is>
          <t>Identical IT Admin/Developer group shown with console access to both CDE and default AWS accounts</t>
        </is>
      </c>
      <c r="F4" s="6" t="inlineStr">
        <is>
          <t>The same 'IT Admins, Developers' actor is depicted twice, each with direct AWS Console -&gt; AWS Control plane access into both the CDE AWS Account (PCI scope) and the Rogers Bank Default AWS Account (non-PCI scope), with no differentiation of access controls, MFA, or least-privilege boundary shown between the two.</t>
        </is>
      </c>
      <c r="G4" s="6" t="inlineStr">
        <is>
          <t>IT Admins, Developers ... AWS Console ... AWS Control plane</t>
        </is>
      </c>
      <c r="H4" s="6" t="inlineStr">
        <is>
          <t>Two identically labeled 'IT Admins, Developers' actor icons appear at top and bottom of the diagram, each connected via 'AWS Console' -&gt; 'AWS Control plane' into the CDE AWS Account and Rogers Bank Default AWS Account respectively, with no distinguishing access-control annotation.</t>
        </is>
      </c>
      <c r="I4" s="6" t="inlineStr">
        <is>
          <t>Without evidence of separated privileged access paths or role scoping, the same administrative population having control-plane access to the PCI-scoped CDE account and the standard account raises a segregation-of-duties/least-privilege concern relevant to PCI-DSS.</t>
        </is>
      </c>
      <c r="J4" s="6" t="inlineStr">
        <is>
          <t>Document and diagram whether distinct roles/credentials with scoped permissions are used for CDE account administration versus the default account, per PCI-DSS access control requirements.</t>
        </is>
      </c>
      <c r="K4" s="6" t="n">
        <v>0.5</v>
      </c>
      <c r="L4" s="6" t="inlineStr">
        <is>
          <t>RBConnect Context Diagram - IT Admins/Developers access paths</t>
        </is>
      </c>
      <c r="M4" s="6" t="inlineStr">
        <is>
          <t>No</t>
        </is>
      </c>
    </row>
    <row r="5">
      <c r="A5" s="6" t="inlineStr">
        <is>
          <t>F-004</t>
        </is>
      </c>
      <c r="B5" s="6" t="inlineStr">
        <is>
          <t>integration</t>
        </is>
      </c>
      <c r="C5" s="6" t="inlineStr">
        <is>
          <t>Interface</t>
        </is>
      </c>
      <c r="D5" s="9" t="inlineStr">
        <is>
          <t>Low</t>
        </is>
      </c>
      <c r="E5" s="6" t="inlineStr">
        <is>
          <t>Legend color coding for 'New Integration (PCI)' not clearly matched by arrow styling in diagram</t>
        </is>
      </c>
      <c r="F5" s="6" t="inlineStr">
        <is>
          <t>The legend defines a distinct red arrow style for 'New Integration (PCI)' versus green for 'New Integration', but the arrows associated with PCI use cases 1-4 and CDE VPC connections do not visibly use a distinguishable red styling consistent with the legend.</t>
        </is>
      </c>
      <c r="G5" s="6" t="inlineStr">
        <is>
          <t>Legends ... New Integration (PCI) ... New Integration</t>
        </is>
      </c>
      <c r="H5" s="6" t="inlineStr">
        <is>
          <t>The legend box shows a red arrow labeled 'New Integration (PCI)', but the arrows near the PCI use case boxes and CDE VPC in the diagram appear in the same black/grey style as 'Existing' or 'No Change' arrows rather than red.</t>
        </is>
      </c>
      <c r="I5" s="6" t="inlineStr">
        <is>
          <t>Inconsistent application of the legend reduces the reliability of the diagram for quickly identifying which PCI-related integrations are new versus existing, risking misclassification during review or audit.</t>
        </is>
      </c>
      <c r="J5" s="6" t="inlineStr">
        <is>
          <t>Apply consistent arrow coloring per the legend for all PCI-related new integration paths, or update the legend/diagram to accurately reflect current-state versus new PCI flows.</t>
        </is>
      </c>
      <c r="K5" s="6" t="n">
        <v>0.45</v>
      </c>
      <c r="L5" s="6" t="inlineStr">
        <is>
          <t>RBConnect Context Diagram - Legends and PCI use case arrows</t>
        </is>
      </c>
      <c r="M5" s="6" t="inlineStr">
        <is>
          <t>No</t>
        </is>
      </c>
    </row>
    <row r="6">
      <c r="A6" s="6" t="inlineStr">
        <is>
          <t>F-005</t>
        </is>
      </c>
      <c r="B6" s="6" t="inlineStr">
        <is>
          <t>ivr</t>
        </is>
      </c>
      <c r="C6" s="6" t="inlineStr">
        <is>
          <t>Lex</t>
        </is>
      </c>
      <c r="D6" s="9" t="inlineStr">
        <is>
          <t>Low</t>
        </is>
      </c>
      <c r="E6" s="6" t="inlineStr">
        <is>
          <t>No visible error/fallback path from Lex or Verification Lambda back to Amazon Connect</t>
        </is>
      </c>
      <c r="F6" s="6" t="inlineStr">
        <is>
          <t>The diagram shows Amazon Connect -&gt; Lex -&gt; Verification Lambda (DoB, OTC, Phone, PAN) as a linear flow, but no return arrow, retry path, or disconnect/fallback path is depicted from Lex/Verification Lambda back to Amazon Connect or to a queue/agent transfer.</t>
        </is>
      </c>
      <c r="G6" s="6" t="inlineStr">
        <is>
          <t>Lex ... Verification Lambda (Dob, OTC, Phone, PAN)</t>
        </is>
      </c>
      <c r="H6" s="6" t="inlineStr">
        <is>
          <t>Arrows go from Amazon Connect to Lex and from Lex to Verification Lambda in one direction only; no reverse or alternate-path arrow is shown returning to Amazon Connect or indicating verification failure handling.</t>
        </is>
      </c>
      <c r="I6" s="6" t="inlineStr">
        <is>
          <t>Absence of a depicted verification failure/retry/transfer path leaves caller experience for failed identity verification unaddressed in this context diagram, which could indicate a documentation gap for IVR error handling.</t>
        </is>
      </c>
      <c r="J6" s="6" t="inlineStr">
        <is>
          <t>Confirm whether verification failure/retry/transfer flows exist and are documented elsewhere (e.g., detailed contact flow diagrams); if not, add them to this or a linked HLD artifact.</t>
        </is>
      </c>
      <c r="K6" s="6" t="n">
        <v>0.4</v>
      </c>
      <c r="L6" s="6" t="inlineStr">
        <is>
          <t>RBConnect Context Diagram - Lex / Verification Lambda flow</t>
        </is>
      </c>
      <c r="M6" s="6" t="inlineStr">
        <is>
          <t>No</t>
        </is>
      </c>
    </row>
    <row r="7">
      <c r="A7" s="6" t="inlineStr">
        <is>
          <t>F-006</t>
        </is>
      </c>
      <c r="B7" s="6" t="inlineStr">
        <is>
          <t>security</t>
        </is>
      </c>
      <c r="C7" s="6" t="inlineStr">
        <is>
          <t>Network Security</t>
        </is>
      </c>
      <c r="D7" s="9" t="inlineStr">
        <is>
          <t>Low</t>
        </is>
      </c>
      <c r="E7" s="6" t="inlineStr">
        <is>
          <t>No firewall/boundary control shown between Citrix Cloud and Amazon Connect</t>
        </is>
      </c>
      <c r="F7" s="6" t="inlineStr">
        <is>
          <t>Citrix Cloud, used by Vendors (CNX, GS), RB CSR, and RB Ops Mgr agents, is connected directly to Amazon Connect with a dashed box boundary but no firewall or network control icon, unlike other external connections (TSYS, RCI Egress + Firewall) which explicitly show firewall components.</t>
        </is>
      </c>
      <c r="G7" s="6" t="inlineStr">
        <is>
          <t>Citrix Cloud ... Vendors (CNX, GS) Agents ... RB CSR ... RB Ops Mgr</t>
        </is>
      </c>
      <c r="H7" s="6" t="inlineStr">
        <is>
          <t>The Citrix Cloud box is drawn with a dashed border and connects via plain arrows to Amazon Connect, with no firewall icon in the path, while other external boundaries (TSYS, RCI) show explicit firewall components.</t>
        </is>
      </c>
      <c r="I7" s="6" t="inlineStr">
        <is>
          <t>Inconsistent depiction of network security controls at the agent desktop boundary may indicate either an undocumented control or an actual gap in network boundary protection for agent access to Amazon Connect.</t>
        </is>
      </c>
      <c r="J7" s="6" t="inlineStr">
        <is>
          <t>Clarify whether a firewall/network control exists between Citrix Cloud and Amazon Connect and add it to the diagram if applicable, for consistency with other external boundaries.</t>
        </is>
      </c>
      <c r="K7" s="6" t="n">
        <v>0.4</v>
      </c>
      <c r="L7" s="6" t="inlineStr">
        <is>
          <t>RBConnect Context Diagram - Citrix Cloud boundary</t>
        </is>
      </c>
      <c r="M7" s="6" t="inlineStr">
        <is>
          <t>No</t>
        </is>
      </c>
    </row>
    <row r="8">
      <c r="A8" s="6" t="inlineStr">
        <is>
          <t>F-007</t>
        </is>
      </c>
      <c r="B8" s="6" t="inlineStr">
        <is>
          <t>architecture</t>
        </is>
      </c>
      <c r="C8" s="6" t="inlineStr">
        <is>
          <t>Data Flow</t>
        </is>
      </c>
      <c r="D8" s="9" t="inlineStr">
        <is>
          <t>Low</t>
        </is>
      </c>
      <c r="E8" s="6" t="inlineStr">
        <is>
          <t>Tech Support shown with dual access paths (HR-Feed email and AWS Console) without differentiated boundary</t>
        </is>
      </c>
      <c r="F8" s="6" t="inlineStr">
        <is>
          <t>Tech Support is shown both sending/receiving an 'HR-Feed' email flow and separately initiating 'AWS Console' -&gt; 'AWS Control plane' access into the Rogers Bank Default AWS Account, with both paths originating from the same actor box without indication of separate credentials or controls.</t>
        </is>
      </c>
      <c r="G8" s="6" t="inlineStr">
        <is>
          <t>HR-Feed ... AWS Console ... AWS Control plane ... Tech Support</t>
        </is>
      </c>
      <c r="H8" s="6" t="inlineStr">
        <is>
          <t>A single 'Tech Support' actor icon has two outgoing arrows: one to/from 'HR-Feed' and one to 'AWS Console', both terminating in or near the Rogers Bank Default AWS Account boundary.</t>
        </is>
      </c>
      <c r="I8" s="6" t="inlineStr">
        <is>
          <t>Combining operational email-based data exchange and administrative console access under one undifferentiated actor path makes it harder to assess whether appropriate least-privilege and monitoring controls are applied per access type.</t>
        </is>
      </c>
      <c r="J8" s="6" t="inlineStr">
        <is>
          <t>Separate and label the Tech Support access paths (data feed vs. administrative access) with applicable control annotations for clarity.</t>
        </is>
      </c>
      <c r="K8" s="6" t="n">
        <v>0.35</v>
      </c>
      <c r="L8" s="6" t="inlineStr">
        <is>
          <t>RBConnect Context Diagram - Tech Support access paths</t>
        </is>
      </c>
      <c r="M8" s="6" t="inlineStr">
        <is>
          <t>No</t>
        </is>
      </c>
    </row>
  </sheetData>
  <autoFilter ref="A1:M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showGridLines="0" workbookViewId="0">
      <pane ySplit="1" topLeftCell="A2" activePane="bottomLeft" state="frozen"/>
      <selection pane="bottomLeft" activeCell="A1" sqref="A1"/>
    </sheetView>
  </sheetViews>
  <sheetFormatPr baseColWidth="8" defaultRowHeight="15"/>
  <cols>
    <col width="18" customWidth="1" min="1" max="1"/>
    <col width="22" customWidth="1" min="2" max="2"/>
    <col width="60" customWidth="1" min="3" max="3"/>
    <col width="75" customWidth="1" min="4" max="4"/>
    <col width="60" customWidth="1" min="5" max="5"/>
    <col width="16" customWidth="1" min="6" max="6"/>
  </cols>
  <sheetData>
    <row r="1" ht="28" customHeight="1">
      <c r="A1" s="5" t="inlineStr">
        <is>
          <t>Scope</t>
        </is>
      </c>
      <c r="B1" s="5" t="inlineStr">
        <is>
          <t>Category</t>
        </is>
      </c>
      <c r="C1" s="5" t="inlineStr">
        <is>
          <t>Check</t>
        </is>
      </c>
      <c r="D1" s="5" t="inlineStr">
        <is>
          <t>Evidence</t>
        </is>
      </c>
      <c r="E1" s="5" t="inlineStr">
        <is>
          <t>Section Reference</t>
        </is>
      </c>
      <c r="F1" s="5" t="inlineStr">
        <is>
          <t>Visual Reviewed</t>
        </is>
      </c>
    </row>
    <row r="2">
      <c r="A2" s="6" t="inlineStr">
        <is>
          <t>architecture</t>
        </is>
      </c>
      <c r="B2" s="6" t="inlineStr">
        <is>
          <t>Component Boundary</t>
        </is>
      </c>
      <c r="C2" s="6" t="inlineStr">
        <is>
          <t>Verified separation between PCI-scoped CDE AWS Account and non-PCI Rogers Bank Default AWS Account boundaries</t>
        </is>
      </c>
      <c r="D2" s="6" t="inlineStr">
        <is>
          <t>Diagram clearly labels and outlines 'CDE AWS Account' in red and 'Rogers Bank Default AWS Account' in orange as distinct boundaries around related components.</t>
        </is>
      </c>
      <c r="E2" s="6" t="inlineStr">
        <is>
          <t>RBConnect Context Diagram - Account boundaries</t>
        </is>
      </c>
      <c r="F2" s="6" t="inlineStr">
        <is>
          <t>No</t>
        </is>
      </c>
    </row>
    <row r="3">
      <c r="A3" s="6" t="inlineStr">
        <is>
          <t>integration</t>
        </is>
      </c>
      <c r="B3" s="6" t="inlineStr">
        <is>
          <t>External Dependency</t>
        </is>
      </c>
      <c r="C3" s="6" t="inlineStr">
        <is>
          <t>Verified TSYS integration path includes firewall control between RCI Egress and TSYS Open APIs/TCS Portal</t>
        </is>
      </c>
      <c r="D3" s="6" t="inlineStr">
        <is>
          <t>Diagram shows a 'Firewall' component explicitly placed between 'RCI Egress + Firewall' and the TSYS 'Open APIs' / 'TCS Portal' components.</t>
        </is>
      </c>
      <c r="E3" s="6" t="inlineStr">
        <is>
          <t>RBConnect Context Diagram - TSYS integration</t>
        </is>
      </c>
      <c r="F3" s="6" t="inlineStr">
        <is>
          <t>No</t>
        </is>
      </c>
    </row>
    <row r="4">
      <c r="A4" s="6" t="inlineStr">
        <is>
          <t>ivr</t>
        </is>
      </c>
      <c r="B4" s="6" t="inlineStr">
        <is>
          <t>Queue</t>
        </is>
      </c>
      <c r="C4" s="6" t="inlineStr">
        <is>
          <t>Verified reporting/analytics data flow (Datalake -&gt; Athena -&gt; QuickSight -&gt; RB Ops Mgr) is depicted as a consistent left-to-right pipeline</t>
        </is>
      </c>
      <c r="D4" s="6" t="inlineStr">
        <is>
          <t>Diagram shows 'Other-sources' and Amazon Connect feeding 'Datalake', then sequential arrows to 'Athena', 'QuickSight', and finally 'RB Ops Mgr', consistent with a standard analytics pipeline pattern.</t>
        </is>
      </c>
      <c r="E4" s="6" t="inlineStr">
        <is>
          <t>RBConnect Context Diagram - Datalake/Athena/QuickSight flow</t>
        </is>
      </c>
      <c r="F4" s="6" t="inlineStr">
        <is>
          <t>No</t>
        </is>
      </c>
    </row>
  </sheetData>
  <autoFilter ref="A1:F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showGridLines="0" workbookViewId="0">
      <pane ySplit="1" topLeftCell="A2" activePane="bottomLeft" state="frozen"/>
      <selection pane="bottomLeft" activeCell="A1" sqref="A1"/>
    </sheetView>
  </sheetViews>
  <sheetFormatPr baseColWidth="8" defaultRowHeight="15"/>
  <cols>
    <col width="18" customWidth="1" min="1" max="1"/>
    <col width="80" customWidth="1" min="2" max="2"/>
    <col width="80" customWidth="1" min="3" max="3"/>
    <col width="65" customWidth="1" min="4" max="4"/>
  </cols>
  <sheetData>
    <row r="1" ht="28" customHeight="1">
      <c r="A1" s="5" t="inlineStr">
        <is>
          <t>Scope</t>
        </is>
      </c>
      <c r="B1" s="5" t="inlineStr">
        <is>
          <t>Reason</t>
        </is>
      </c>
      <c r="C1" s="5" t="inlineStr">
        <is>
          <t>Required Action</t>
        </is>
      </c>
      <c r="D1" s="5" t="inlineStr">
        <is>
          <t>Section Reference</t>
        </is>
      </c>
    </row>
    <row r="2">
      <c r="A2" s="6" t="inlineStr">
        <is>
          <t>security</t>
        </is>
      </c>
      <c r="B2" s="6" t="inlineStr">
        <is>
          <t>The context diagram does not provide detail on encryption in transit/at rest for PCI data flows (e.g., GetAccountByCard, PIN operations) between Amazon Connect, CDE VPC, and TSYS.</t>
        </is>
      </c>
      <c r="C2" s="6" t="inlineStr">
        <is>
          <t>Review detailed network/security design or data flow diagrams to confirm encryption controls for PCI use cases 1-4.</t>
        </is>
      </c>
      <c r="D2" s="6" t="inlineStr">
        <is>
          <t>RBConnect Context Diagram - PCI use cases and CDE VPC</t>
        </is>
      </c>
    </row>
    <row r="3">
      <c r="A3" s="6" t="inlineStr">
        <is>
          <t>integration</t>
        </is>
      </c>
      <c r="B3" s="6" t="inlineStr">
        <is>
          <t>Payload contract and error-handling behavior for 'Create TSYS Interaction' and 'Non-PCI use cases' via the X-Platform are not detailed in this context-level diagram.</t>
        </is>
      </c>
      <c r="C3" s="6" t="inlineStr">
        <is>
          <t>Obtain the referenced detailed/separate HLD (noted as 'Separate HLD' in the legend) covering interface contracts and integration error handling for these flows.</t>
        </is>
      </c>
      <c r="D3" s="6" t="inlineStr">
        <is>
          <t>RBConnect Context Diagram - Create TSYS Interaction / X-Platform</t>
        </is>
      </c>
    </row>
    <row r="4">
      <c r="A4" s="6" t="inlineStr">
        <is>
          <t>ivr</t>
        </is>
      </c>
      <c r="B4" s="6" t="inlineStr">
        <is>
          <t>Actual Amazon Connect contact flow logic (prompts, retries, transfer to queue/agent, disconnect handling) is not shown in this context diagram, which only depicts system-level connections.</t>
        </is>
      </c>
      <c r="C4" s="6" t="inlineStr">
        <is>
          <t>Review the detailed Amazon Connect contact flow diagrams/scripts to validate prompt, retry, transfer, and disconnect behavior.</t>
        </is>
      </c>
      <c r="D4" s="6" t="inlineStr">
        <is>
          <t>RBConnect Context Diagram - Amazon Connect</t>
        </is>
      </c>
    </row>
  </sheetData>
  <autoFilter ref="A1:D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showGridLines="0" workbookViewId="0">
      <pane ySplit="1" topLeftCell="A2" activePane="bottomLeft" state="frozen"/>
      <selection pane="bottomLeft" activeCell="A1" sqref="A1"/>
    </sheetView>
  </sheetViews>
  <sheetFormatPr baseColWidth="8" defaultRowHeight="15"/>
  <cols>
    <col width="12" customWidth="1" min="1" max="1"/>
    <col width="50" customWidth="1" min="2" max="2"/>
    <col width="85" customWidth="1" min="3" max="3"/>
    <col width="80" customWidth="1" min="4" max="4"/>
  </cols>
  <sheetData>
    <row r="1" ht="28" customHeight="1">
      <c r="A1" s="5" t="inlineStr">
        <is>
          <t>Section ID</t>
        </is>
      </c>
      <c r="B1" s="5" t="inlineStr">
        <is>
          <t>Section</t>
        </is>
      </c>
      <c r="C1" s="5" t="inlineStr">
        <is>
          <t>Error</t>
        </is>
      </c>
      <c r="D1" s="5" t="inlineStr">
        <is>
          <t>Raw Response</t>
        </is>
      </c>
    </row>
  </sheetData>
  <autoFilter ref="A1:D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2"/>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34" customWidth="1" min="3" max="3"/>
    <col width="28" customWidth="1" min="4" max="4"/>
    <col width="10" customWidth="1" min="5" max="5"/>
    <col width="14" customWidth="1" min="6" max="6"/>
    <col width="15" customWidth="1" min="7" max="7"/>
    <col width="17" customWidth="1" min="8" max="8"/>
    <col width="14" customWidth="1" min="9" max="9"/>
    <col width="14" customWidth="1" min="10" max="10"/>
    <col width="20" customWidth="1" min="11" max="11"/>
    <col width="16" customWidth="1" min="12" max="12"/>
    <col width="14" customWidth="1" min="13" max="13"/>
    <col width="14" customWidth="1" min="14" max="14"/>
    <col width="16" customWidth="1" min="15" max="15"/>
    <col width="14" customWidth="1" min="16" max="16"/>
    <col width="16" customWidth="1" min="17" max="17"/>
    <col width="14" customWidth="1" min="18" max="18"/>
    <col width="12" customWidth="1" min="19" max="19"/>
    <col width="14" customWidth="1" min="20" max="20"/>
    <col width="15" customWidth="1" min="21" max="21"/>
    <col width="14" customWidth="1" min="22" max="22"/>
    <col width="20" customWidth="1" min="23" max="23"/>
    <col width="16" customWidth="1" min="24" max="24"/>
  </cols>
  <sheetData>
    <row r="1" ht="28" customHeight="1">
      <c r="A1" s="5" t="inlineStr">
        <is>
          <t>Section ID</t>
        </is>
      </c>
      <c r="B1" s="5" t="inlineStr">
        <is>
          <t>Section</t>
        </is>
      </c>
      <c r="C1" s="5" t="inlineStr">
        <is>
          <t>Scopes</t>
        </is>
      </c>
      <c r="D1" s="5" t="inlineStr">
        <is>
          <t>Models</t>
        </is>
      </c>
      <c r="E1" s="5" t="inlineStr">
        <is>
          <t>Calls</t>
        </is>
      </c>
      <c r="F1" s="5" t="inlineStr">
        <is>
          <t>Input Tokens</t>
        </is>
      </c>
      <c r="G1" s="5" t="inlineStr">
        <is>
          <t>Output Tokens</t>
        </is>
      </c>
      <c r="H1" s="5" t="inlineStr">
        <is>
          <t>Reasoning Tokens</t>
        </is>
      </c>
      <c r="I1" s="5" t="inlineStr">
        <is>
          <t>Total Tokens</t>
        </is>
      </c>
      <c r="J1" s="5" t="inlineStr">
        <is>
          <t>AI Credits</t>
        </is>
      </c>
      <c r="K1" s="5" t="inlineStr">
        <is>
          <t>Premium Request Cost</t>
        </is>
      </c>
      <c r="L1" s="5" t="inlineStr">
        <is>
          <t>Visual Reviewed</t>
        </is>
      </c>
      <c r="M1" s="5" t="inlineStr">
        <is>
          <t>Turn Status</t>
        </is>
      </c>
      <c r="N1" s="5" t="inlineStr">
        <is>
          <t>Source Chars</t>
        </is>
      </c>
      <c r="O1" s="5" t="inlineStr">
        <is>
          <t>Source Est. Tokens</t>
        </is>
      </c>
      <c r="P1" s="5" t="inlineStr">
        <is>
          <t>Prompt Chars</t>
        </is>
      </c>
      <c r="Q1" s="5" t="inlineStr">
        <is>
          <t>Prompt Est. Tokens</t>
        </is>
      </c>
      <c r="R1" s="5" t="inlineStr">
        <is>
          <t>System Chars</t>
        </is>
      </c>
      <c r="S1" s="5" t="inlineStr">
        <is>
          <t>Attachments</t>
        </is>
      </c>
      <c r="T1" s="5" t="inlineStr">
        <is>
          <t>Context Tokens</t>
        </is>
      </c>
      <c r="U1" s="5" t="inlineStr">
        <is>
          <t>Context Limit</t>
        </is>
      </c>
      <c r="V1" s="5" t="inlineStr">
        <is>
          <t>Context System</t>
        </is>
      </c>
      <c r="W1" s="5" t="inlineStr">
        <is>
          <t>Context Conversation</t>
        </is>
      </c>
      <c r="X1" s="5" t="inlineStr">
        <is>
          <t>Context Tools</t>
        </is>
      </c>
    </row>
    <row r="2">
      <c r="A2" s="6" t="n">
        <v>26</v>
      </c>
      <c r="B2" s="6" t="inlineStr">
        <is>
          <t>CDE AWS Account
TSYS
Firewall
Open APIs
TCS Portal
PCI use cases:
1. GetAccountByCard
2. Set/Update PIN
3. Verify PIN
Non-PCI use cases
CDE VPC
X- PLATFORM
Customer
AWS Control plane
IT Admins,
Developers
AWS Control plane
AWS Console
AWS Console
RBConnect Context Diagram
PCI use cases: 
4. GetAccountByANI
Create TSYS Interaction
CNX, GS
Dynatrace
RCI Egress + Firewall
Tech Support
IT Admins,
Developers
No Change
New Integration
Existing
New Integration 
(PCI)
Separate HLD
Out of Scope
New
  Citrix Cloud
RCI MPLS Switch &amp; Firewall
lFirewall
Vendors
(CNX, GS)
Agents
RB
CSR
RB
Ops Mgr
Utility functions
(Report, Routiing, HR-Feed)
Amazon Connect
Rogers Bank Default AWS Account
HIYA Call branding
HIYA
CCReport+HRFeed
HR-Feed
Legends
Email
Office 365
Email
Verification Lambda (Dob, OTC, Phone, PAN)
Lex
Athena
QuickSight
Datalake
RB
Ops Mgr
Other-sources</t>
        </is>
      </c>
      <c r="C2" s="6" t="inlineStr">
        <is>
          <t>architecture, security, integration, ivr</t>
        </is>
      </c>
      <c r="D2" s="6" t="inlineStr">
        <is>
          <t>claude-sonnet-5</t>
        </is>
      </c>
      <c r="E2" s="6" t="n">
        <v>1</v>
      </c>
      <c r="F2" s="6" t="n">
        <v>28001</v>
      </c>
      <c r="G2" s="6" t="n">
        <v>6154</v>
      </c>
      <c r="H2" s="6" t="n">
        <v>1053</v>
      </c>
      <c r="I2" s="6" t="n">
        <v>34155</v>
      </c>
      <c r="J2" s="6" t="n">
        <v>13.15415</v>
      </c>
      <c r="K2" s="6" t="n">
        <v>1</v>
      </c>
      <c r="L2" s="6" t="inlineStr">
        <is>
          <t>Yes</t>
        </is>
      </c>
      <c r="M2" s="6" t="inlineStr">
        <is>
          <t>completed</t>
        </is>
      </c>
      <c r="N2" s="6" t="n">
        <v>819</v>
      </c>
      <c r="O2" s="6" t="n">
        <v>205</v>
      </c>
      <c r="P2" s="6" t="n">
        <v>11344</v>
      </c>
      <c r="Q2" s="6" t="n">
        <v>2836</v>
      </c>
      <c r="R2" s="6" t="n">
        <v>493</v>
      </c>
      <c r="S2" s="6" t="n">
        <v>1</v>
      </c>
      <c r="T2" s="6" t="n">
        <v>0</v>
      </c>
      <c r="U2" s="6" t="n">
        <v>0</v>
      </c>
      <c r="V2" s="6" t="n">
        <v>0</v>
      </c>
      <c r="W2" s="6" t="n">
        <v>0</v>
      </c>
      <c r="X2" s="6" t="n">
        <v>0</v>
      </c>
    </row>
  </sheetData>
  <autoFilter ref="A1:X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
  <sheetViews>
    <sheetView showGridLines="0" workbookViewId="0">
      <pane ySplit="1" topLeftCell="A2" activePane="bottomLeft" state="frozen"/>
      <selection pane="bottomLeft" activeCell="A1" sqref="A1"/>
    </sheetView>
  </sheetViews>
  <sheetFormatPr baseColWidth="8" defaultRowHeight="15"/>
  <cols>
    <col width="24" customWidth="1" min="1" max="1"/>
    <col width="18" customWidth="1" min="2" max="2"/>
    <col width="20" customWidth="1" min="3" max="3"/>
    <col width="32" customWidth="1" min="4" max="4"/>
  </cols>
  <sheetData>
    <row r="1" ht="28" customHeight="1">
      <c r="A1" s="5" t="inlineStr">
        <is>
          <t>Scope</t>
        </is>
      </c>
      <c r="B1" s="5" t="inlineStr">
        <is>
          <t>Sections Reviewed</t>
        </is>
      </c>
      <c r="C1" s="5" t="inlineStr">
        <is>
          <t>Shared Model Calls</t>
        </is>
      </c>
      <c r="D1" s="5" t="inlineStr">
        <is>
          <t>Attribution</t>
        </is>
      </c>
    </row>
    <row r="2">
      <c r="A2" s="6" t="inlineStr">
        <is>
          <t>architecture</t>
        </is>
      </c>
      <c r="B2" s="6" t="n">
        <v>1</v>
      </c>
      <c r="C2" s="6" t="n">
        <v>1</v>
      </c>
      <c r="D2" s="6" t="inlineStr">
        <is>
          <t>shared-section-call</t>
        </is>
      </c>
    </row>
    <row r="3">
      <c r="A3" s="6" t="inlineStr">
        <is>
          <t>security</t>
        </is>
      </c>
      <c r="B3" s="6" t="n">
        <v>1</v>
      </c>
      <c r="C3" s="6" t="n">
        <v>1</v>
      </c>
      <c r="D3" s="6" t="inlineStr">
        <is>
          <t>shared-section-call</t>
        </is>
      </c>
    </row>
    <row r="4">
      <c r="A4" s="6" t="inlineStr">
        <is>
          <t>integration</t>
        </is>
      </c>
      <c r="B4" s="6" t="n">
        <v>1</v>
      </c>
      <c r="C4" s="6" t="n">
        <v>1</v>
      </c>
      <c r="D4" s="6" t="inlineStr">
        <is>
          <t>shared-section-call</t>
        </is>
      </c>
    </row>
    <row r="5">
      <c r="A5" s="6" t="inlineStr">
        <is>
          <t>ivr</t>
        </is>
      </c>
      <c r="B5" s="6" t="n">
        <v>1</v>
      </c>
      <c r="C5" s="6" t="n">
        <v>1</v>
      </c>
      <c r="D5" s="6" t="inlineStr">
        <is>
          <t>shared-section-call</t>
        </is>
      </c>
    </row>
  </sheetData>
  <autoFilter ref="A1:D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
  <sheetViews>
    <sheetView showGridLines="0" workbookViewId="0">
      <pane ySplit="1" topLeftCell="A2" activePane="bottomLeft" state="frozen"/>
      <selection pane="bottomLeft" activeCell="A1" sqref="A1"/>
    </sheetView>
  </sheetViews>
  <sheetFormatPr baseColWidth="8" defaultRowHeight="15"/>
  <cols>
    <col width="32" customWidth="1" min="1" max="1"/>
    <col width="12" customWidth="1" min="2" max="2"/>
    <col width="16" customWidth="1" min="3" max="3"/>
    <col width="16" customWidth="1" min="4" max="4"/>
    <col width="18" customWidth="1" min="5" max="5"/>
    <col width="16" customWidth="1" min="6" max="6"/>
  </cols>
  <sheetData>
    <row r="1" ht="28" customHeight="1">
      <c r="A1" s="5" t="inlineStr">
        <is>
          <t>Model</t>
        </is>
      </c>
      <c r="B1" s="5" t="inlineStr">
        <is>
          <t>Calls</t>
        </is>
      </c>
      <c r="C1" s="5" t="inlineStr">
        <is>
          <t>Input Tokens</t>
        </is>
      </c>
      <c r="D1" s="5" t="inlineStr">
        <is>
          <t>Output Tokens</t>
        </is>
      </c>
      <c r="E1" s="5" t="inlineStr">
        <is>
          <t>Reasoning Tokens</t>
        </is>
      </c>
      <c r="F1" s="5" t="inlineStr">
        <is>
          <t>AI Credits</t>
        </is>
      </c>
    </row>
    <row r="2">
      <c r="A2" s="6" t="inlineStr">
        <is>
          <t>claude-sonnet-5</t>
        </is>
      </c>
      <c r="B2" s="6" t="n">
        <v>1</v>
      </c>
      <c r="C2" s="6" t="n">
        <v>28001</v>
      </c>
      <c r="D2" s="6" t="n">
        <v>6154</v>
      </c>
      <c r="E2" s="6" t="n">
        <v>1053</v>
      </c>
      <c r="F2" s="6" t="n">
        <v>13.15415</v>
      </c>
    </row>
  </sheetData>
  <autoFilter ref="A1:F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showGridLines="0" workbookViewId="0">
      <pane ySplit="1" topLeftCell="A2" activePane="bottomLeft" state="frozen"/>
      <selection pane="bottomLeft" activeCell="A1" sqref="A1"/>
    </sheetView>
  </sheetViews>
  <sheetFormatPr baseColWidth="8" defaultRowHeight="15"/>
  <cols>
    <col width="110" customWidth="1" min="1" max="1"/>
  </cols>
  <sheetData>
    <row r="1" ht="28" customHeight="1">
      <c r="A1" s="5" t="inlineStr">
        <is>
          <t>Note</t>
        </is>
      </c>
    </row>
    <row r="2">
      <c r="A2" s="6" t="inlineStr">
        <is>
          <t>The current export is built from the completed review result. Section-level review evidence and AI telemetry are included; full Phase-1 inventory can be added when required.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20" customWidth="1" min="1" max="1"/>
  </cols>
  <sheetData>
    <row r="1">
      <c r="A1" s="3" t="inlineStr">
        <is>
          <t>Report Notes</t>
        </is>
      </c>
    </row>
    <row r="2">
      <c r="A2" s="3" t="inlineStr">
        <is>
          <t>Actual model/token usage is sourced from Copilot SDK telemetry when available.</t>
        </is>
      </c>
    </row>
    <row r="3">
      <c r="A3" s="3" t="inlineStr">
        <is>
          <t>Source/prompt token values marked as estimated are diagnostics only, not billing values.</t>
        </is>
      </c>
    </row>
    <row r="4">
      <c r="A4" s="3" t="inlineStr">
        <is>
          <t>When multiple review scopes share one section-level Copilot turn, usage is reported at the section/call level and is not artificially divided across scopes.</t>
        </is>
      </c>
    </row>
    <row r="5">
      <c r="A5" s="3" t="inlineStr">
        <is>
          <t>SDK AI credits are shown as a convenience conversion from totalNanoAiu; validate current GitHub billing semantics before using for accounting.</t>
        </is>
      </c>
    </row>
    <row r="6">
      <c r="A6" s="3" t="inlineStr">
        <is>
          <t>Review failures are separated from findings and do not imply 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2026-09-19T18:42:31Z</dcterms:created>
  <dcterms:modified xsi:type="dcterms:W3CDTF">2026-09-19T18:42:31Z</dcterms:modified>
</cp:coreProperties>
</file>
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indings" sheetId="2" state="visible" r:id="rId2"/>
    <sheet name="Passed Checks" sheetId="3" state="visible" r:id="rId3"/>
    <sheet name="Manual Review" sheetId="4" state="visible" r:id="rId4"/>
    <sheet name="Review Errors" sheetId="5" state="visible" r:id="rId5"/>
    <sheet name="AI Telemetry" sheetId="6" state="visible" r:id="rId6"/>
    <sheet name="Auto Routing" sheetId="7" state="visible" r:id="rId7"/>
    <sheet name="Scope Coverage" sheetId="8" state="visible" r:id="rId8"/>
    <sheet name="Model Usage" sheetId="9" state="visible" r:id="rId9"/>
    <sheet name="Section Inventory" sheetId="10" state="visible" r:id="rId10"/>
    <sheet name="Read Me" sheetId="11" state="visible" r:id="rId11"/>
  </sheets>
  <definedNames>
    <definedName name="_xlnm._FilterDatabase" localSheetId="1" hidden="1">'Findings'!$A$1:$M$12</definedName>
    <definedName name="_xlnm._FilterDatabase" localSheetId="2" hidden="1">'Passed Checks'!$A$1:$F$15</definedName>
    <definedName name="_xlnm._FilterDatabase" localSheetId="3" hidden="1">'Manual Review'!$A$1:$D$9</definedName>
    <definedName name="_xlnm._FilterDatabase" localSheetId="4" hidden="1">'Review Errors'!$A$1:$D$1</definedName>
    <definedName name="_xlnm._FilterDatabase" localSheetId="5" hidden="1">'AI Telemetry'!$A$1:$Z$15</definedName>
    <definedName name="_xlnm._FilterDatabase" localSheetId="6" hidden="1">'Auto Routing'!$A$1:$H$2</definedName>
    <definedName name="_xlnm._FilterDatabase" localSheetId="7" hidden="1">'Scope Coverage'!$A$1:$D$6</definedName>
    <definedName name="_xlnm._FilterDatabase" localSheetId="8" hidden="1">'Model Usage'!$A$1:$F$3</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sz val="18"/>
    </font>
    <font>
      <b val="1"/>
      <color rgb="004A5A6B"/>
    </font>
    <font>
      <b val="1"/>
      <color rgb="00FFFFFF"/>
    </font>
  </fonts>
  <fills count="8">
    <fill>
      <patternFill/>
    </fill>
    <fill>
      <patternFill patternType="gray125"/>
    </fill>
    <fill>
      <patternFill patternType="solid">
        <fgColor rgb="0016324F"/>
      </patternFill>
    </fill>
    <fill>
      <patternFill patternType="solid">
        <fgColor rgb="00EEF1F4"/>
      </patternFill>
    </fill>
    <fill>
      <patternFill patternType="solid">
        <fgColor rgb="002A5B8C"/>
      </patternFill>
    </fill>
    <fill>
      <patternFill patternType="solid">
        <fgColor rgb="00FCE4D6"/>
      </patternFill>
    </fill>
    <fill>
      <patternFill patternType="solid">
        <fgColor rgb="00FBEAD9"/>
      </patternFill>
    </fill>
    <fill>
      <patternFill patternType="solid">
        <fgColor rgb="00FFF2CC"/>
      </patternFill>
    </fill>
  </fills>
  <borders count="2">
    <border>
      <left/>
      <right/>
      <top/>
      <bottom/>
      <diagonal/>
    </border>
    <border>
      <bottom style="thin">
        <color rgb="00D9E0E7"/>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3" fillId="4" borderId="0" applyAlignment="1" pivotButton="0" quotePrefix="0" xfId="0">
      <alignment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8" customWidth="1" min="1" max="1"/>
    <col width="78" customWidth="1" min="2" max="2"/>
    <col width="18" customWidth="1" min="3" max="3"/>
    <col width="18" customWidth="1" min="4" max="4"/>
    <col width="18" customWidth="1" min="5" max="5"/>
    <col width="18" customWidth="1" min="6" max="6"/>
  </cols>
  <sheetData>
    <row r="1">
      <c r="A1" s="1" t="inlineStr">
        <is>
          <t>IVR SDLC Automated Analyst Platform - HLD Review</t>
        </is>
      </c>
    </row>
    <row r="3">
      <c r="A3" s="2" t="inlineStr">
        <is>
          <t>Document</t>
        </is>
      </c>
      <c r="B3" s="3" t="inlineStr">
        <is>
          <t>https://reqcentral.com/wiki/spaces/FES/pages/1143493583/High+Level+Design+Document+-+Contact+Center+-+BAU+R12.0#HighLevelDesignDocumentContactCenterBAUR12.0-2.6.2DataLifecycleandRetention</t>
        </is>
      </c>
    </row>
    <row r="4">
      <c r="A4" s="2" t="inlineStr">
        <is>
          <t>Review status</t>
        </is>
      </c>
      <c r="B4" s="3" t="inlineStr">
        <is>
          <t>FINDINGS</t>
        </is>
      </c>
    </row>
    <row r="5">
      <c r="A5" s="2" t="inlineStr">
        <is>
          <t>Sections reviewed</t>
        </is>
      </c>
      <c r="B5" s="3" t="n">
        <v>14</v>
      </c>
    </row>
    <row r="6">
      <c r="A6" s="2" t="inlineStr">
        <is>
          <t>Findings</t>
        </is>
      </c>
      <c r="B6" s="3">
        <f>COUNTA(Findings!A:A)-1</f>
        <v/>
      </c>
    </row>
    <row r="7">
      <c r="A7" s="2" t="inlineStr">
        <is>
          <t>Passed checks</t>
        </is>
      </c>
      <c r="B7" s="3">
        <f>COUNTA('Passed Checks'!A:A)-1</f>
        <v/>
      </c>
    </row>
    <row r="8">
      <c r="A8" s="2" t="inlineStr">
        <is>
          <t>Manual review</t>
        </is>
      </c>
      <c r="B8" s="3">
        <f>COUNTA('Manual Review'!A:A)-1</f>
        <v/>
      </c>
    </row>
    <row r="9">
      <c r="A9" s="2" t="inlineStr">
        <is>
          <t>Review errors</t>
        </is>
      </c>
      <c r="B9" s="3">
        <f>COUNTA('Review Errors'!A:A)-1</f>
        <v/>
      </c>
    </row>
    <row r="11">
      <c r="A11" s="2" t="inlineStr">
        <is>
          <t>Actual model calls</t>
        </is>
      </c>
      <c r="B11" s="3" t="n">
        <v>14</v>
      </c>
    </row>
    <row r="12">
      <c r="A12" s="2" t="inlineStr">
        <is>
          <t>Actual input tokens</t>
        </is>
      </c>
      <c r="B12" s="3" t="n">
        <v>215621</v>
      </c>
    </row>
    <row r="13">
      <c r="A13" s="2" t="inlineStr">
        <is>
          <t>Actual output tokens</t>
        </is>
      </c>
      <c r="B13" s="3" t="n">
        <v>13619</v>
      </c>
    </row>
    <row r="14">
      <c r="A14" s="2" t="inlineStr">
        <is>
          <t>Actual reasoning tokens</t>
        </is>
      </c>
      <c r="B14" s="3" t="n">
        <v>786</v>
      </c>
    </row>
    <row r="15">
      <c r="A15" s="2" t="inlineStr">
        <is>
          <t>SDK AI credits</t>
        </is>
      </c>
      <c r="B15" s="4" t="n">
        <v>12.8487465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13" customWidth="1" min="4" max="4"/>
    <col width="40" customWidth="1" min="5" max="5"/>
    <col width="60" customWidth="1" min="6" max="6"/>
    <col width="45" customWidth="1" min="7" max="7"/>
    <col width="55" customWidth="1" min="8" max="8"/>
    <col width="50" customWidth="1" min="9" max="9"/>
    <col width="55" customWidth="1" min="10" max="10"/>
    <col width="12" customWidth="1" min="11" max="11"/>
    <col width="60" customWidth="1" min="12" max="12"/>
    <col width="15" customWidth="1" min="13" max="13"/>
  </cols>
  <sheetData>
    <row r="1" ht="28" customHeight="1">
      <c r="A1" s="5" t="inlineStr">
        <is>
          <t>Finding ID</t>
        </is>
      </c>
      <c r="B1" s="5" t="inlineStr">
        <is>
          <t>Scope</t>
        </is>
      </c>
      <c r="C1" s="5" t="inlineStr">
        <is>
          <t>Category</t>
        </is>
      </c>
      <c r="D1" s="5" t="inlineStr">
        <is>
          <t>Severity</t>
        </is>
      </c>
      <c r="E1" s="5" t="inlineStr">
        <is>
          <t>Title</t>
        </is>
      </c>
      <c r="F1" s="5" t="inlineStr">
        <is>
          <t>Finding</t>
        </is>
      </c>
      <c r="G1" s="5" t="inlineStr">
        <is>
          <t>Evidence - Text</t>
        </is>
      </c>
      <c r="H1" s="5" t="inlineStr">
        <is>
          <t>Evidence - Visual</t>
        </is>
      </c>
      <c r="I1" s="5" t="inlineStr">
        <is>
          <t>Impact</t>
        </is>
      </c>
      <c r="J1" s="5" t="inlineStr">
        <is>
          <t>Recommendation</t>
        </is>
      </c>
      <c r="K1" s="5" t="inlineStr">
        <is>
          <t>Confidence</t>
        </is>
      </c>
      <c r="L1" s="5" t="inlineStr">
        <is>
          <t>Section Reference</t>
        </is>
      </c>
      <c r="M1" s="5" t="inlineStr">
        <is>
          <t>Visual Reviewed</t>
        </is>
      </c>
    </row>
    <row r="2">
      <c r="A2" s="6" t="inlineStr">
        <is>
          <t>F-001</t>
        </is>
      </c>
      <c r="B2" s="6" t="inlineStr">
        <is>
          <t>architecture</t>
        </is>
      </c>
      <c r="C2" s="6" t="inlineStr">
        <is>
          <t>Component Boundary</t>
        </is>
      </c>
      <c r="D2" s="7" t="inlineStr">
        <is>
          <t>High</t>
        </is>
      </c>
      <c r="E2" s="6" t="inlineStr">
        <is>
          <t>Undefined architectural scope of 'Connect data lake'</t>
        </is>
      </c>
      <c r="F2" s="6" t="inlineStr">
        <is>
          <t>The term 'Amazon Connect data lake' is used as a key architectural component but is not formally defined. It is unclear whether this refers to a native Amazon Connect feature, a custom S3-based implementation, or an architectural pattern. This ambiguity prevents assessment of component boundaries, data ownership, and integration points.</t>
        </is>
      </c>
      <c r="G2" s="6" t="inlineStr">
        <is>
          <t>Amazon Connect data lake is centralized repository for data generated by Amazon Connect and Amazon Quick Sight is BI tool which will help build dashboard for day2 operation. In short, the amazon connect data lake is single source for all connect data with zero-ETL (i.e no complex data pipeline need to be maintained).</t>
        </is>
      </c>
      <c r="H2" s="6" t="inlineStr"/>
      <c r="I2" s="6" t="inlineStr">
        <is>
          <t>Unclear component definition creates ambiguity in architectural responsibility boundaries, integration dependencies, and deployment topology. This complicates design review, implementation planning, and operational support.</t>
        </is>
      </c>
      <c r="J2" s="6" t="inlineStr">
        <is>
          <t>Formally define 'Connect data lake' with explicit scope (e.g., native Connect feature vs. custom S3 data store), architectural ownership, storage schema, and data flow diagram showing how data enters and exits the component.</t>
        </is>
      </c>
      <c r="K2" s="6" t="n">
        <v>0.9</v>
      </c>
      <c r="L2" s="6" t="inlineStr">
        <is>
          <t>https://reqcentral.com/wiki/spaces/FES/pages/1143493583/High+Level+Design+Document+-+Contact+Center+-+BAU+R12.0#HighLevelDesignDocumentContactCenterBAUR12.0-2.6.2DataLifecycleandRetention -&gt; 1.3 Solution Summary</t>
        </is>
      </c>
      <c r="M2" s="6" t="inlineStr">
        <is>
          <t>No</t>
        </is>
      </c>
    </row>
    <row r="3">
      <c r="A3" s="6" t="inlineStr">
        <is>
          <t>F-002</t>
        </is>
      </c>
      <c r="B3" s="6" t="inlineStr">
        <is>
          <t>architecture</t>
        </is>
      </c>
      <c r="C3" s="6" t="inlineStr">
        <is>
          <t>Design Consistency</t>
        </is>
      </c>
      <c r="D3" s="8" t="inlineStr">
        <is>
          <t>Medium</t>
        </is>
      </c>
      <c r="E3" s="6" t="inlineStr">
        <is>
          <t>Contradictory statements regarding ETL complexity</t>
        </is>
      </c>
      <c r="F3" s="6" t="inlineStr">
        <is>
          <t>The section claims 'zero-ETL (i.e no complex data pipeline need to be maintained)' but then describes AWS Data export of CUR 2.0 report to S3, querying with Athena, and visualization with QuickSight. This process constitutes an ETL pipeline, contradicting the zero-ETL assertion.</t>
        </is>
      </c>
      <c r="G3" s="6" t="inlineStr">
        <is>
          <t>the amazon connect data lake is single source for all connect data with zero-ETL (i.e no complex data pipeline need to be maintained). This is quickset and fastest way to build dashboard for connect.The AWS Data export will allow export of CUR 2.0 report to a S3 bucket, which can be visualized using Athena and Amazon Quick Sight. In other words, Athena can query data (S3) to create dashboard for Business using Amazon Quick Sight.</t>
        </is>
      </c>
      <c r="H3" s="6" t="inlineStr"/>
      <c r="I3" s="6" t="inlineStr">
        <is>
          <t>Design inconsistency undermines credibility of architectural claims and creates confusion about operational complexity, maintenance burden, and technical debt expectations.</t>
        </is>
      </c>
      <c r="J3" s="6" t="inlineStr">
        <is>
          <t>Clarify whether zero-ETL applies only to the Connect data lake component (native ingestion) or to the entire solution. Define what constitutes the pipeline boundary and explicitly document which steps are automated vs. manual or complex.</t>
        </is>
      </c>
      <c r="K3" s="6" t="n">
        <v>0.95</v>
      </c>
      <c r="L3" s="6" t="inlineStr">
        <is>
          <t>https://reqcentral.com/wiki/spaces/FES/pages/1143493583/High+Level+Design+Document+-+Contact+Center+-+BAU+R12.0#HighLevelDesignDocumentContactCenterBAUR12.0-2.6.2DataLifecycleandRetention -&gt; 1.3 Solution Summary</t>
        </is>
      </c>
      <c r="M3" s="6" t="inlineStr">
        <is>
          <t>No</t>
        </is>
      </c>
    </row>
    <row r="4">
      <c r="A4" s="6" t="inlineStr">
        <is>
          <t>F-003</t>
        </is>
      </c>
      <c r="B4" s="6" t="inlineStr">
        <is>
          <t>integration</t>
        </is>
      </c>
      <c r="C4" s="6" t="inlineStr">
        <is>
          <t>Integration Error Handling</t>
        </is>
      </c>
      <c r="D4" s="7" t="inlineStr">
        <is>
          <t>High</t>
        </is>
      </c>
      <c r="E4" s="6" t="inlineStr">
        <is>
          <t>Missing error handling and recovery strategy for data export pipeline</t>
        </is>
      </c>
      <c r="F4" s="6" t="inlineStr">
        <is>
          <t>The solution describes data export to S3 and subsequent Athena queries but does not address failure scenarios, retry logic, or recovery procedures. No mention of backpressure, queue overflow, or stale data detection.</t>
        </is>
      </c>
      <c r="G4" s="6" t="inlineStr">
        <is>
          <t>The AWS Data export will allow export of CUR 2.0 report to a S3 bucket, which can be visualized using Athena and Amazon Quick Sight. In other words, Athena can query data (S3) to create dashboard for Business using Amazon Quick Sight.</t>
        </is>
      </c>
      <c r="H4" s="6" t="inlineStr"/>
      <c r="I4" s="6" t="inlineStr">
        <is>
          <t>Without documented error handling, the solution risks data loss, dashboard staleness, and operational blind spots. Day2 operations teams cannot reliably troubleshoot export failures or recovery procedures.</t>
        </is>
      </c>
      <c r="J4" s="6" t="inlineStr">
        <is>
          <t>Define error handling strategy including: retry policies for failed exports, maximum acceptable data lag/staleness, alerting for pipeline failures, and manual recovery procedures. Document expected RPO/RTO for the data pipeline.</t>
        </is>
      </c>
      <c r="K4" s="6" t="n">
        <v>0.9</v>
      </c>
      <c r="L4" s="6" t="inlineStr">
        <is>
          <t>https://reqcentral.com/wiki/spaces/FES/pages/1143493583/High+Level+Design+Document+-+Contact+Center+-+BAU+R12.0#HighLevelDesignDocumentContactCenterBAUR12.0-2.6.2DataLifecycleandRetention -&gt; 1.3 Solution Summary</t>
        </is>
      </c>
      <c r="M4" s="6" t="inlineStr">
        <is>
          <t>No</t>
        </is>
      </c>
    </row>
    <row r="5">
      <c r="A5" s="6" t="inlineStr">
        <is>
          <t>F-004</t>
        </is>
      </c>
      <c r="B5" s="6" t="inlineStr">
        <is>
          <t>security</t>
        </is>
      </c>
      <c r="C5" s="6" t="inlineStr">
        <is>
          <t>Data Protection</t>
        </is>
      </c>
      <c r="D5" s="7" t="inlineStr">
        <is>
          <t>High</t>
        </is>
      </c>
      <c r="E5" s="6" t="inlineStr">
        <is>
          <t>No encryption strategy specified for contact center data</t>
        </is>
      </c>
      <c r="F5" s="6" t="inlineStr">
        <is>
          <t>The section describes data export to S3, Athena queries, and QuickSight dashboards but contains no mention of encryption in-transit or at-rest. Contact center data typically contains PII and sensitive customer information requiring explicit encryption controls.</t>
        </is>
      </c>
      <c r="G5" s="6" t="inlineStr">
        <is>
          <t>The AWS Data export will allow export of CUR 2.0 report to a S3 bucket, which can be visualized using Athena and Amazon Quick Sight.</t>
        </is>
      </c>
      <c r="H5" s="6" t="inlineStr"/>
      <c r="I5" s="6" t="inlineStr">
        <is>
          <t>Lack of documented encryption controls creates data protection risk, particularly for PII in contact center transcripts and call recordings. Regulatory compliance (GDPR, CCPA, PCI-DSS if applicable) may be at risk.</t>
        </is>
      </c>
      <c r="J5" s="6" t="inlineStr">
        <is>
          <t>Explicitly document encryption requirements: (1) Encryption for S3 bucket (SSE-S3 or SSE-KMS), (2) Encryption in-transit for data export (TLS/HTTPS), (3) Encryption for Athena query results, (4) Access control to encryption keys (KMS IAM policy), (5) Data classification for different data types (PII vs. operational metrics).</t>
        </is>
      </c>
      <c r="K5" s="6" t="n">
        <v>0.95</v>
      </c>
      <c r="L5" s="6" t="inlineStr">
        <is>
          <t>https://reqcentral.com/wiki/spaces/FES/pages/1143493583/High+Level+Design+Document+-+Contact+Center+-+BAU+R12.0#HighLevelDesignDocumentContactCenterBAUR12.0-2.6.2DataLifecycleandRetention -&gt; 1.3 Solution Summary</t>
        </is>
      </c>
      <c r="M5" s="6" t="inlineStr">
        <is>
          <t>No</t>
        </is>
      </c>
    </row>
    <row r="6">
      <c r="A6" s="6" t="inlineStr">
        <is>
          <t>F-005</t>
        </is>
      </c>
      <c r="B6" s="6" t="inlineStr">
        <is>
          <t>security</t>
        </is>
      </c>
      <c r="C6" s="6" t="inlineStr">
        <is>
          <t>IAM</t>
        </is>
      </c>
      <c r="D6" s="7" t="inlineStr">
        <is>
          <t>High</t>
        </is>
      </c>
      <c r="E6" s="6" t="inlineStr">
        <is>
          <t>Missing IAM and access control documentation</t>
        </is>
      </c>
      <c r="F6" s="6" t="inlineStr">
        <is>
          <t>No discussion of IAM roles, policies, or access controls for the data pipeline components. It is not documented who can export data, query Athena, or access QuickSight dashboards. No segregation of duties or principle of least privilege specified.</t>
        </is>
      </c>
      <c r="G6" s="6" t="inlineStr">
        <is>
          <t>The AWS Data export will allow export of CUR 2.0 report to a S3 bucket, which can be visualized using Athena and Amazon Quick Sight. Athena can query data (S3) to create dashboard for Business using Amazon Quick Sight.</t>
        </is>
      </c>
      <c r="H6" s="6" t="inlineStr"/>
      <c r="I6" s="6" t="inlineStr">
        <is>
          <t>Without explicit IAM controls, unauthorized users could export sensitive contact data, modify dashboards, or access PII. Audit trails and compliance reporting may be compromised.</t>
        </is>
      </c>
      <c r="J6" s="6" t="inlineStr">
        <is>
          <t>Document IAM strategy including: (1) IAM roles/policies for data export service, (2) Access levels for dashboard viewers vs. dashboard creators, (3) Cross-account access controls if applicable, (4) Service principal permissions for Lambda/ETL functions, (5) Audit logging for data access and modification.</t>
        </is>
      </c>
      <c r="K6" s="6" t="n">
        <v>0.9</v>
      </c>
      <c r="L6" s="6" t="inlineStr">
        <is>
          <t>https://reqcentral.com/wiki/spaces/FES/pages/1143493583/High+Level+Design+Document+-+Contact+Center+-+BAU+R12.0#HighLevelDesignDocumentContactCenterBAUR12.0-2.6.2DataLifecycleandRetention -&gt; 1.3 Solution Summary</t>
        </is>
      </c>
      <c r="M6" s="6" t="inlineStr">
        <is>
          <t>No</t>
        </is>
      </c>
    </row>
    <row r="7">
      <c r="A7" s="6" t="inlineStr">
        <is>
          <t>F-006</t>
        </is>
      </c>
      <c r="B7" s="6" t="inlineStr">
        <is>
          <t>functional</t>
        </is>
      </c>
      <c r="C7" s="6" t="inlineStr">
        <is>
          <t>Completeness</t>
        </is>
      </c>
      <c r="D7" s="8" t="inlineStr">
        <is>
          <t>Medium</t>
        </is>
      </c>
      <c r="E7" s="6" t="inlineStr">
        <is>
          <t>Requirements reference table contains incomplete and undefined dates</t>
        </is>
      </c>
      <c r="F7" s="6" t="inlineStr">
        <is>
          <t>The document references table shows document locations but provides 'TBD' for Cyber STARR version dates and vague 'All Documents' references for Requirements and Use Case. Version 1 dates are not specified, preventing traceability of requirement versions to this HLD.</t>
        </is>
      </c>
      <c r="G7" s="6" t="inlineStr">
        <is>
          <t>DocumentLocationDateVersionRequirements Matrix (RM)Including the IT responses to requirements*Requirements - All DocumentsCyber STARRTBDUse CaseRequirements - All DocumentsHLD v1 (Non-PCI)HLD version 1HLD v1 (PCI)HLD version 1 (PCI)</t>
        </is>
      </c>
      <c r="H7" s="6" t="inlineStr"/>
      <c r="I7" s="6" t="inlineStr">
        <is>
          <t>Incomplete document references prevent verification that this HLD design satisfies all documented requirements. Traceability gaps create risk for design-requirement mismatch and scope creep.</t>
        </is>
      </c>
      <c r="J7" s="6" t="inlineStr">
        <is>
          <t>Complete the requirements reference table with specific version dates, document paths, and checksums. Ensure every item references a concrete version-dated document, not 'All Documents' or 'TBD'. Add explicit cross-references from HLD sections to corresponding requirement IDs.</t>
        </is>
      </c>
      <c r="K7" s="6" t="n">
        <v>0.85</v>
      </c>
      <c r="L7" s="6" t="inlineStr">
        <is>
          <t>https://reqcentral.com/wiki/spaces/FES/pages/1143493583/High+Level+Design+Document+-+Contact+Center+-+BAU+R12.0#HighLevelDesignDocumentContactCenterBAUR12.0-2.6.2DataLifecycleandRetention -&gt; 1.3 Solution Summary</t>
        </is>
      </c>
      <c r="M7" s="6" t="inlineStr">
        <is>
          <t>No</t>
        </is>
      </c>
    </row>
    <row r="8">
      <c r="A8" s="6" t="inlineStr">
        <is>
          <t>F-007</t>
        </is>
      </c>
      <c r="B8" s="6" t="inlineStr">
        <is>
          <t>architecture</t>
        </is>
      </c>
      <c r="C8" s="6" t="inlineStr">
        <is>
          <t>Data Flow</t>
        </is>
      </c>
      <c r="D8" s="8" t="inlineStr">
        <is>
          <t>Medium</t>
        </is>
      </c>
      <c r="E8" s="6" t="inlineStr">
        <is>
          <t>Data retention and lifecycle policy not addressed in section</t>
        </is>
      </c>
      <c r="F8" s="6" t="inlineStr">
        <is>
          <t>The section is referenced from 'Data Lifecycle and Retention' but contains no discussion of data retention periods, archival policies, deletion schedules, or lifecycle transitions. No mention of how long data is kept in S3, Athena query logs, or QuickSight dashboards.</t>
        </is>
      </c>
      <c r="G8" s="6" t="inlineStr">
        <is>
          <t>Section content focuses on components (QuickSight, Connect data lake, Athena) and data flow but does not address 'lifecycle' or 'retention' despite being under '2.6.2 Data Lifecycle and Retention' heading.</t>
        </is>
      </c>
      <c r="H8" s="6" t="inlineStr"/>
      <c r="I8" s="6" t="inlineStr">
        <is>
          <t>Without documented retention policies, the solution may accumulate unbounded data, leading to cost growth, regulatory non-compliance, and unclear data governance. Audit requirements for data deletion cannot be verified.</t>
        </is>
      </c>
      <c r="J8" s="6" t="inlineStr">
        <is>
          <t>Document data retention strategy: (1) Retention period for raw Connect data in the data lake, (2) Retention for exported CUR data in S3, (3) TTL for Athena query cache/results, (4) Archival or deletion triggers, (5) Audit trails for deleted data, (6) Compliance drivers (industry regulations, corporate policy).</t>
        </is>
      </c>
      <c r="K8" s="6" t="n">
        <v>0.85</v>
      </c>
      <c r="L8" s="6" t="inlineStr">
        <is>
          <t>https://reqcentral.com/wiki/spaces/FES/pages/1143493583/High+Level+Design+Document+-+Contact+Center+-+BAU+R12.0#HighLevelDesignDocumentContactCenterBAUR12.0-2.6.2DataLifecycleandRetention -&gt; 1.3 Solution Summary</t>
        </is>
      </c>
      <c r="M8" s="6" t="inlineStr">
        <is>
          <t>No</t>
        </is>
      </c>
    </row>
    <row r="9">
      <c r="A9" s="6" t="inlineStr">
        <is>
          <t>F-001</t>
        </is>
      </c>
      <c r="B9" s="6" t="inlineStr">
        <is>
          <t>architecture</t>
        </is>
      </c>
      <c r="C9" s="6" t="inlineStr">
        <is>
          <t>Completeness</t>
        </is>
      </c>
      <c r="D9" s="8" t="inlineStr">
        <is>
          <t>Medium</t>
        </is>
      </c>
      <c r="E9" s="6" t="inlineStr">
        <is>
          <t>Deployment approach is under-specified</t>
        </is>
      </c>
      <c r="F9" s="6" t="inlineStr">
        <is>
          <t>The section only states a single drop phase with component/PVT/PETBRT flags, but it does not describe how the solution will be deployed, what components are included, or how testing is sequenced beyond the table headings.</t>
        </is>
      </c>
      <c r="G9" s="6" t="inlineStr">
        <is>
          <t>"1.7 Deployment Approach&lt;&lt;Describe how you are going to deploy and test the solution&gt;&gt;Phase/Single DropComponents includedPVT (Y/N)PETBRT (Y/N)Drop 1 YNN"</t>
        </is>
      </c>
      <c r="H9" s="6" t="inlineStr"/>
      <c r="I9" s="6" t="inlineStr">
        <is>
          <t>This leaves deployment responsibilities, rollout scope, and test coverage ambiguous, increasing the risk of incomplete implementation or inconsistent release execution.</t>
        </is>
      </c>
      <c r="J9" s="6" t="inlineStr">
        <is>
          <t>Expand the section to explicitly define deployment steps, component scope, environment sequence, and the intended PVT/PETBRT test plan for the drop.</t>
        </is>
      </c>
      <c r="K9" s="6" t="n">
        <v>0.95</v>
      </c>
      <c r="L9" s="6" t="inlineStr">
        <is>
          <t>https://reqcentral.com/wiki/spaces/FES/pages/1143493583/High+Level+Design+Document+-+Contact+Center+-+BAU+R12.0#HighLevelDesignDocumentContactCenterBAUR12.0-2.6.2DataLifecycleandRetention -&gt; 1.7 Deployment Approach</t>
        </is>
      </c>
      <c r="M9" s="6" t="inlineStr">
        <is>
          <t>No</t>
        </is>
      </c>
    </row>
    <row r="10">
      <c r="A10" s="6" t="inlineStr">
        <is>
          <t>F-001</t>
        </is>
      </c>
      <c r="B10" s="6" t="inlineStr">
        <is>
          <t>architecture</t>
        </is>
      </c>
      <c r="C10" s="6" t="inlineStr">
        <is>
          <t>Data Flow</t>
        </is>
      </c>
      <c r="D10" s="8" t="inlineStr">
        <is>
          <t>Medium</t>
        </is>
      </c>
      <c r="E10" s="6" t="inlineStr">
        <is>
          <t>Data export path crosses trust boundary without a shown control</t>
        </is>
      </c>
      <c r="F10" s="6" t="inlineStr">
        <is>
          <t>The diagram shows AWS Data Export (acc-PCI) feeding S3/Data Lake, but no control is shown for how the export is isolated, filtered, or governed before landing in shared storage.</t>
        </is>
      </c>
      <c r="G10" s="6" t="inlineStr">
        <is>
          <t>"AWS Data Export (acc-PCI)" -&gt; "s3" / "Data Lake"</t>
        </is>
      </c>
      <c r="H10" s="6" t="inlineStr">
        <is>
          <t>The export block is drawn left of the main boundary and points into S3/Data Lake with no intervening control or segregation label.</t>
        </is>
      </c>
      <c r="I10" s="6" t="inlineStr">
        <is>
          <t>Sensitive PCI-related data could be exposed to broader analytics consumers if the export lands in shared storage without explicit containment.</t>
        </is>
      </c>
      <c r="J10" s="6" t="inlineStr">
        <is>
          <t>Show the boundary and control point for the acc-PCI export path, including dedicated storage, filtering/masking, and access restriction before any shared lake ingestion.</t>
        </is>
      </c>
      <c r="K10" s="6" t="n">
        <v>0.89</v>
      </c>
      <c r="L10"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M10" s="6" t="inlineStr">
        <is>
          <t>Yes</t>
        </is>
      </c>
    </row>
    <row r="11">
      <c r="A11" s="6" t="inlineStr">
        <is>
          <t>F-002</t>
        </is>
      </c>
      <c r="B11" s="6" t="inlineStr">
        <is>
          <t>security</t>
        </is>
      </c>
      <c r="C11" s="6" t="inlineStr">
        <is>
          <t>Authorization</t>
        </is>
      </c>
      <c r="D11" s="8" t="inlineStr">
        <is>
          <t>Medium</t>
        </is>
      </c>
      <c r="E11" s="6" t="inlineStr">
        <is>
          <t>LakeFormation access is shown without any identity source or auth boundary</t>
        </is>
      </c>
      <c r="F11" s="6" t="inlineStr">
        <is>
          <t>The flow shows QuickSight/Athena using "Get Cred" and "Check Permission" against LakeFormation, but the diagram does not identify what principal is authenticated or how credentials are issued and protected.</t>
        </is>
      </c>
      <c r="G11" s="6" t="inlineStr">
        <is>
          <t>"2. GetMetadata", "3. Check Permission", "4. Get Cred" between Athena, Glue Data Catalog, and LakeFormation</t>
        </is>
      </c>
      <c r="H11" s="6" t="inlineStr">
        <is>
          <t>The lower-right analytics flow shows permission and credential steps but no explicit identity provider, role boundary, or secrets/control box.</t>
        </is>
      </c>
      <c r="I11" s="6" t="inlineStr">
        <is>
          <t>Without an explicit authN/authZ boundary, the design leaves ambiguity around who can query data and how least-privilege access is enforced.</t>
        </is>
      </c>
      <c r="J11" s="6" t="inlineStr">
        <is>
          <t>Add the identity source, role assumption path, and credential handling for Athena/QuickSight access to LakeFormation, including whether access is federated, role-based, or service-managed.</t>
        </is>
      </c>
      <c r="K11" s="6" t="n">
        <v>0.84</v>
      </c>
      <c r="L11"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M11" s="6" t="inlineStr">
        <is>
          <t>Yes</t>
        </is>
      </c>
    </row>
    <row r="12">
      <c r="A12" s="6" t="inlineStr">
        <is>
          <t>F-003</t>
        </is>
      </c>
      <c r="B12" s="6" t="inlineStr">
        <is>
          <t>ivr</t>
        </is>
      </c>
      <c r="C12" s="6" t="inlineStr">
        <is>
          <t>Contact Flow</t>
        </is>
      </c>
      <c r="D12" s="9" t="inlineStr">
        <is>
          <t>Low</t>
        </is>
      </c>
      <c r="E12" s="6" t="inlineStr">
        <is>
          <t>IVR log ingestion is present but the IVR source is not defined</t>
        </is>
      </c>
      <c r="F12" s="6" t="inlineStr">
        <is>
          <t>The diagram includes "5b. GetData (IVR)" into Athena and CloudWatch log-group (connect), but it does not show which IVR system produces the data or how that feed is triggered.</t>
        </is>
      </c>
      <c r="G12" s="6" t="inlineStr">
        <is>
          <t>"AWS CloudWatch log-group (connect)" and "5b.GetData (IVR)"</t>
        </is>
      </c>
      <c r="H12" s="6" t="inlineStr">
        <is>
          <t>The IVR path appears as a labeled data fetch with no source component or interface beyond the Athena arrow.</t>
        </is>
      </c>
      <c r="I12" s="6" t="inlineStr">
        <is>
          <t>This leaves the IVR telemetry path ambiguous and makes it harder to validate ownership, freshness, and failure handling for the feed.</t>
        </is>
      </c>
      <c r="J12" s="6" t="inlineStr">
        <is>
          <t>Name the IVR source system and show the interface or event path that delivers IVR data to CloudWatch/Athena, including refresh cadence and failure handling.</t>
        </is>
      </c>
      <c r="K12" s="6" t="n">
        <v>0.76</v>
      </c>
      <c r="L12"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M12" s="6" t="inlineStr">
        <is>
          <t>Yes</t>
        </is>
      </c>
    </row>
  </sheetData>
  <autoFilter ref="A1:M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75" customWidth="1" min="4" max="4"/>
    <col width="60" customWidth="1" min="5" max="5"/>
    <col width="16" customWidth="1" min="6" max="6"/>
  </cols>
  <sheetData>
    <row r="1" ht="28" customHeight="1">
      <c r="A1" s="5" t="inlineStr">
        <is>
          <t>Scope</t>
        </is>
      </c>
      <c r="B1" s="5" t="inlineStr">
        <is>
          <t>Category</t>
        </is>
      </c>
      <c r="C1" s="5" t="inlineStr">
        <is>
          <t>Check</t>
        </is>
      </c>
      <c r="D1" s="5" t="inlineStr">
        <is>
          <t>Evidence</t>
        </is>
      </c>
      <c r="E1" s="5" t="inlineStr">
        <is>
          <t>Section Reference</t>
        </is>
      </c>
      <c r="F1" s="5" t="inlineStr">
        <is>
          <t>Visual Reviewed</t>
        </is>
      </c>
    </row>
    <row r="2">
      <c r="A2" s="6" t="inlineStr">
        <is>
          <t>architecture</t>
        </is>
      </c>
      <c r="B2" s="6" t="inlineStr">
        <is>
          <t>Component Boundary</t>
        </is>
      </c>
      <c r="C2" s="6" t="inlineStr">
        <is>
          <t>Identification of primary architectural components</t>
        </is>
      </c>
      <c r="D2" s="6" t="inlineStr">
        <is>
          <t>The section clearly names key components: Amazon Connect (source), Connect data lake (aggregation), AWS Data export (pipeline), S3 (storage), Athena (query), and QuickSight (visualization). Component roles are generally discernible.</t>
        </is>
      </c>
      <c r="E2" s="6" t="inlineStr">
        <is>
          <t>https://reqcentral.com/wiki/spaces/FES/pages/1143493583/High+Level+Design+Document+-+Contact+Center+-+BAU+R12.0#HighLevelDesignDocumentContactCenterBAUR12.0-2.6.2DataLifecycleandRetention -&gt; 1.3 Solution Summary</t>
        </is>
      </c>
      <c r="F2" s="6" t="inlineStr">
        <is>
          <t>No</t>
        </is>
      </c>
    </row>
    <row r="3">
      <c r="A3" s="6" t="inlineStr">
        <is>
          <t>architecture</t>
        </is>
      </c>
      <c r="B3" s="6" t="inlineStr">
        <is>
          <t>Data Flow</t>
        </is>
      </c>
      <c r="C3" s="6" t="inlineStr">
        <is>
          <t>Basic data flow narrative present</t>
        </is>
      </c>
      <c r="D3" s="6" t="inlineStr">
        <is>
          <t>The section describes a logical flow: Connect generates data â†’ data lake stores it â†’ export to S3 â†’ Athena queries â†’ QuickSight visualizes. The directional flow from source to visualization is documented.</t>
        </is>
      </c>
      <c r="E3" s="6" t="inlineStr">
        <is>
          <t>https://reqcentral.com/wiki/spaces/FES/pages/1143493583/High+Level+Design+Document+-+Contact+Center+-+BAU+R12.0#HighLevelDesignDocumentContactCenterBAUR12.0-2.6.2DataLifecycleandRetention -&gt; 1.3 Solution Summary</t>
        </is>
      </c>
      <c r="F3" s="6" t="inlineStr">
        <is>
          <t>No</t>
        </is>
      </c>
    </row>
    <row r="4">
      <c r="A4" s="6" t="inlineStr">
        <is>
          <t>functional</t>
        </is>
      </c>
      <c r="B4" s="6" t="inlineStr">
        <is>
          <t>Completeness</t>
        </is>
      </c>
      <c r="C4" s="6" t="inlineStr">
        <is>
          <t>In-scope impacts are explicitly enumerated for the solution areas covered by the section.</t>
        </is>
      </c>
      <c r="D4" s="6" t="inlineStr">
        <is>
          <t>The table lists impacted areas and status: Amazon Connect (Yes), Customer Experience (No Change), Agent Experience (No Change), Security &amp; Compliance (Yes), TSYS backend (No Change), Middleware (No Change), Operation Experience (Yes).</t>
        </is>
      </c>
      <c r="E4" s="6" t="inlineStr">
        <is>
          <t>https://reqcentral.com/wiki/spaces/FES/pages/1143493583/High+Level+Design+Document+-+Contact+Center+-+BAU+R12.0#HighLevelDesignDocumentContactCenterBAUR12.0-2.6.2DataLifecycleandRetention -&gt; 1.4.1 In Scope</t>
        </is>
      </c>
      <c r="F4" s="6" t="inlineStr">
        <is>
          <t>No</t>
        </is>
      </c>
    </row>
    <row r="5">
      <c r="A5" s="6" t="inlineStr">
        <is>
          <t>functional</t>
        </is>
      </c>
      <c r="B5" s="6" t="inlineStr">
        <is>
          <t>Completeness</t>
        </is>
      </c>
      <c r="C5" s="6" t="inlineStr">
        <is>
          <t>The section clearly states the items excluded from delivery and distinguishes them from in-scope work.</t>
        </is>
      </c>
      <c r="D5" s="6" t="inlineStr">
        <is>
          <t>Out-of-scope items are explicitly listed as 'Dashboard creation' and 'Generative AI query is out of scope (as per previous discussion)'.</t>
        </is>
      </c>
      <c r="E5" s="6" t="inlineStr">
        <is>
          <t>https://reqcentral.com/wiki/spaces/FES/pages/1143493583/High+Level+Design+Document+-+Contact+Center+-+BAU+R12.0#HighLevelDesignDocumentContactCenterBAUR12.0-2.6.2DataLifecycleandRetention -&gt; 1.4.2 Out of Scope</t>
        </is>
      </c>
      <c r="F5" s="6" t="inlineStr">
        <is>
          <t>No</t>
        </is>
      </c>
    </row>
    <row r="6">
      <c r="A6" s="6" t="inlineStr">
        <is>
          <t>architecture</t>
        </is>
      </c>
      <c r="B6" s="6" t="inlineStr">
        <is>
          <t>Component Boundary</t>
        </is>
      </c>
      <c r="C6" s="6" t="inlineStr">
        <is>
          <t>The section confines itself to exclusions and does not introduce conflicting architecture responsibilities or dependencies.</t>
        </is>
      </c>
      <c r="D6" s="6" t="inlineStr">
        <is>
          <t>The text only defines non-delivered functionality and does not describe new components, interfaces, or deployment changes.</t>
        </is>
      </c>
      <c r="E6" s="6" t="inlineStr">
        <is>
          <t>https://reqcentral.com/wiki/spaces/FES/pages/1143493583/High+Level+Design+Document+-+Contact+Center+-+BAU+R12.0#HighLevelDesignDocumentContactCenterBAUR12.0-2.6.2DataLifecycleandRetention -&gt; 1.4.2 Out of Scope</t>
        </is>
      </c>
      <c r="F6" s="6" t="inlineStr">
        <is>
          <t>No</t>
        </is>
      </c>
    </row>
    <row r="7">
      <c r="A7" s="6" t="inlineStr">
        <is>
          <t>functional</t>
        </is>
      </c>
      <c r="B7" s="6" t="inlineStr">
        <is>
          <t>Completeness</t>
        </is>
      </c>
      <c r="C7" s="6" t="inlineStr">
        <is>
          <t>The section explicitly enumerates four in-scope use cases, covering administrator access, QuickSight table/schema selection, cost/report table/schema selection, and dashboard viewing for operations.</t>
        </is>
      </c>
      <c r="D7" s="6" t="inlineStr">
        <is>
          <t>"As an administrator... secure access... Quick Sight"; "As a business analyst/data engineer... select connect tables/schema... build real time dashboard"; "...select Cost and Report tables/schema..."; "As an operation user... view dashboard..."</t>
        </is>
      </c>
      <c r="E7" s="6" t="inlineStr">
        <is>
          <t>https://reqcentral.com/wiki/spaces/FES/pages/1143493583/High+Level+Design+Document+-+Contact+Center+-+BAU+R12.0#HighLevelDesignDocumentContactCenterBAUR12.0-2.6.2DataLifecycleandRetention -&gt; 1.4.3 Uses Cases In Scope</t>
        </is>
      </c>
      <c r="F7" s="6" t="inlineStr">
        <is>
          <t>No</t>
        </is>
      </c>
    </row>
    <row r="8">
      <c r="A8" s="6" t="inlineStr">
        <is>
          <t>architecture</t>
        </is>
      </c>
      <c r="B8" s="6" t="inlineStr">
        <is>
          <t>Data Flow</t>
        </is>
      </c>
      <c r="C8" s="6" t="inlineStr">
        <is>
          <t>The limitation clearly states the export availability is restricted to us-east-1 and the replication target is defined as ca-central-1, providing a bounded cross-region data path.</t>
        </is>
      </c>
      <c r="D8" s="6" t="inlineStr">
        <is>
          <t>"Data export is only available in us-east-1" and "s3 bucket will be replicated from us-east-1 to ca-central-1"</t>
        </is>
      </c>
      <c r="E8" s="6" t="inlineStr">
        <is>
          <t>https://reqcentral.com/wiki/spaces/FES/pages/1143493583/High+Level+Design+Document+-+Contact+Center+-+BAU+R12.0#HighLevelDesignDocumentContactCenterBAUR12.0-2.6.2DataLifecycleandRetention -&gt; 1.5.3 Limitations</t>
        </is>
      </c>
      <c r="F8" s="6" t="inlineStr">
        <is>
          <t>No</t>
        </is>
      </c>
    </row>
    <row r="9">
      <c r="A9" s="6" t="inlineStr">
        <is>
          <t>architecture</t>
        </is>
      </c>
      <c r="B9" s="6" t="inlineStr">
        <is>
          <t>Component Boundary</t>
        </is>
      </c>
      <c r="C9" s="6" t="inlineStr">
        <is>
          <t>Verified the assumptions are scoped to CCR/CCR Business Team and do not describe unrelated system components or cross-domain responsibilities.</t>
        </is>
      </c>
      <c r="D9" s="6" t="inlineStr">
        <is>
          <t>"The setup is done only for Detail Cost Analysis for CRR resources" and "The enablement is exclusively for CCR."</t>
        </is>
      </c>
      <c r="E9" s="6" t="inlineStr">
        <is>
          <t>https://reqcentral.com/wiki/spaces/FES/pages/1143493583/High+Level+Design+Document+-+Contact+Center+-+BAU+R12.0#HighLevelDesignDocumentContactCenterBAUR12.0-2.6.2DataLifecycleandRetention -&gt; 1.5.4 Assumptions</t>
        </is>
      </c>
      <c r="F9" s="6" t="inlineStr">
        <is>
          <t>No</t>
        </is>
      </c>
    </row>
    <row r="10">
      <c r="A10" s="6" t="inlineStr">
        <is>
          <t>security</t>
        </is>
      </c>
      <c r="B10" s="6" t="inlineStr">
        <is>
          <t>Data Protection</t>
        </is>
      </c>
      <c r="C10" s="6" t="inlineStr">
        <is>
          <t>Checked whether the section introduces any explicit data masking or access-control requirement and found it states the opposite as an assumption rather than a control gap in this excerpt.</t>
        </is>
      </c>
      <c r="D10" s="6" t="inlineStr">
        <is>
          <t>"There is no need to mask any information to business user (viewer)."</t>
        </is>
      </c>
      <c r="E10" s="6" t="inlineStr">
        <is>
          <t>https://reqcentral.com/wiki/spaces/FES/pages/1143493583/High+Level+Design+Document+-+Contact Center+-+BAU+R12.0#HighLevelDesignDocumentContactCenterBAUR12.0-2.6.2DataLifecycleandRetention -&gt; 1.5.4 Assumptions</t>
        </is>
      </c>
      <c r="F10" s="6" t="inlineStr">
        <is>
          <t>No</t>
        </is>
      </c>
    </row>
    <row r="11">
      <c r="A11" s="6" t="inlineStr">
        <is>
          <t>architecture</t>
        </is>
      </c>
      <c r="B11" s="6" t="inlineStr">
        <is>
          <t>Component Boundary</t>
        </is>
      </c>
      <c r="C11" s="6" t="inlineStr">
        <is>
          <t>The section identifies deployment methods for each listed module type and distinguishes managed deployment responsibility at a component level.</t>
        </is>
      </c>
      <c r="D11" s="6" t="inlineStr">
        <is>
          <t>Table lists module types and methods: Amazon Connect - TFM + Manual; S3 - TFM; CloudWatch log stream - TFM.</t>
        </is>
      </c>
      <c r="E11" s="6" t="inlineStr">
        <is>
          <t>https://reqcentral.com/wiki/spaces/FES/pages/1143493583/High+Level+Design+Document+-+Contact+Center+-+BAU+R12.0#HighLevelDesignDocumentContactCenterBAUR12.0-2.6.2DataLifecycleandRetention -&gt; 1.7.2 Deployment Method</t>
        </is>
      </c>
      <c r="F11" s="6" t="inlineStr">
        <is>
          <t>No</t>
        </is>
      </c>
    </row>
    <row r="12">
      <c r="A12" s="6" t="inlineStr">
        <is>
          <t>security</t>
        </is>
      </c>
      <c r="B12" s="6" t="inlineStr">
        <is>
          <t>Data Protection</t>
        </is>
      </c>
      <c r="C12" s="6" t="inlineStr">
        <is>
          <t>Tagging fields for data classification, criticality, PII, and compliance are documented with explicit values.</t>
        </is>
      </c>
      <c r="D12" s="6" t="inlineStr">
        <is>
          <t>The section lists Data Classification = Restricted, Business Criticality/Application Classification = Vital, PII = True, Compliance = PCI, and other asset metadata fields.</t>
        </is>
      </c>
      <c r="E12" s="6" t="inlineStr">
        <is>
          <t>https://reqcentral.com/wiki/spaces/FES/pages/1143493583/High+Level+Design+Document+-+Contact+Center+-+BAU+R12.0#HighLevelDesignDocumentContactCenterBAUR12.0-2.6.2DataLifecycleandRetention -&gt; 1.7.3 Tagging</t>
        </is>
      </c>
      <c r="F12" s="6" t="inlineStr">
        <is>
          <t>No</t>
        </is>
      </c>
    </row>
    <row r="13">
      <c r="A13" s="6" t="inlineStr">
        <is>
          <t>architecture</t>
        </is>
      </c>
      <c r="B13" s="6" t="inlineStr">
        <is>
          <t>Component Boundary</t>
        </is>
      </c>
      <c r="C13" s="6" t="inlineStr">
        <is>
          <t>The diagram distinguishes the CDE AWS Account from the Rogers Bank Default AWS Account and external TSYS/TCS/HIYA/Citrix-related boundaries.</t>
        </is>
      </c>
      <c r="D13" s="6" t="inlineStr">
        <is>
          <t>The visual shows separate bounded areas labeled CDE AWS Account and Rogers Bank Default AWS Account, with external blocks for TSYS, TCS Portal, CNX/GS, Dynatrace, and HIYA.</t>
        </is>
      </c>
      <c r="E13" s="6" t="inlineStr">
        <is>
          <t>https://reqcentral.com/wiki/spaces/FES/pages/1143493583/High+Level+Design+Document+-+Contact+Center+-+BAU+R12.0#HighLevelDesignDocumentContactCenterBAUR12.0-2.6.2DataLifecycleandRetention -&gt; CDE AWSÂ Account
TSYS
Firewall
Open APIs
TCS Portal
PCI use cases:
1. GetAccountByCard
2. Set/Update PIN
3. Verify PIN
Non-PCI use cases
CDE VPC
X- PLATFORM
Customer
AWS Control plane
IT Admins,
Developers
AWS Control plane
AWS Console
AWS Console
RBConnect Context Diagram
PCI use cases:Â 
4. GetAccountByANI
Create TSYS Interaction
CNX, GS
Dynatrace
RCI Egress + Firewall
Tech Support
IT Admins,
Developers
No Change
New Integration
Existing
New IntegrationÂ 
(PCI)
Separate HLD
Out of Scope
New
Â  Citrix Cloud
RCI MPLS Switch &amp; Firewall
lFirewall
Vendors
(CNX, GS)
Agents
RB
CSR
RB
OpsÂ Mgr
Utility functions
(Report, Routiing, HR-Feed)
Amazon Connect
Rogers Bank DefaultÂ AWS Account
HIYA Call branding
HIYA
CCReport+HRFeed
HR-Feed
Legends
Email
Office 365
Email
Verification Lambda (Dob, OTC, Phone, PAN)
Lex
Athena
QuickSight
Datalake
RB
OpsÂ Mgr
Other-sources</t>
        </is>
      </c>
      <c r="F13" s="6" t="inlineStr">
        <is>
          <t>Yes</t>
        </is>
      </c>
    </row>
    <row r="14">
      <c r="A14" s="6" t="inlineStr">
        <is>
          <t>architecture</t>
        </is>
      </c>
      <c r="B14" s="6" t="inlineStr">
        <is>
          <t>Component Boundary</t>
        </is>
      </c>
      <c r="C14" s="6" t="inlineStr">
        <is>
          <t>Core contact-center and analytics components are explicitly separated into generation and query/visualization areas</t>
        </is>
      </c>
      <c r="D14" s="6" t="inlineStr">
        <is>
          <t>The diagram is partitioned into "Data Generation" and "Data Query &amp; Visualiation" with distinct component groupings.</t>
        </is>
      </c>
      <c r="E14"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F14" s="6" t="inlineStr">
        <is>
          <t>Yes</t>
        </is>
      </c>
    </row>
    <row r="15">
      <c r="A15" s="6" t="inlineStr">
        <is>
          <t>architecture</t>
        </is>
      </c>
      <c r="B15" s="6" t="inlineStr">
        <is>
          <t>Design Consistency</t>
        </is>
      </c>
      <c r="C15" s="6" t="inlineStr">
        <is>
          <t>Amazon Connect is consistently shown as the central routing hub for customer and email interactions</t>
        </is>
      </c>
      <c r="D15" s="6" t="inlineStr">
        <is>
          <t>The visual places Amazon Connect in the center with arrows to Customer, SES, Office 365, WFM Reports, and Data Lake.</t>
        </is>
      </c>
      <c r="E15"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F15" s="6" t="inlineStr">
        <is>
          <t>Yes</t>
        </is>
      </c>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65" customWidth="1" min="4" max="4"/>
  </cols>
  <sheetData>
    <row r="1" ht="28" customHeight="1">
      <c r="A1" s="5" t="inlineStr">
        <is>
          <t>Scope</t>
        </is>
      </c>
      <c r="B1" s="5" t="inlineStr">
        <is>
          <t>Reason</t>
        </is>
      </c>
      <c r="C1" s="5" t="inlineStr">
        <is>
          <t>Required Action</t>
        </is>
      </c>
      <c r="D1" s="5" t="inlineStr">
        <is>
          <t>Section Reference</t>
        </is>
      </c>
    </row>
    <row r="2">
      <c r="A2" s="6" t="inlineStr">
        <is>
          <t>architecture</t>
        </is>
      </c>
      <c r="B2" s="6" t="inlineStr">
        <is>
          <t>The section claims 'zero-ETL' for Connect data lake but does not provide a technical architecture diagram or reference documentation that explains how this is achieved. Without visual or detailed technical evidence, the claim cannot be independently validated.</t>
        </is>
      </c>
      <c r="C2" s="6" t="inlineStr">
        <is>
          <t>Request architecture diagram showing the Connect data lake internals and data ingestion mechanism. Verify whether zero-ETL is achieved through native Connect APIs, streaming services (Kinesis), or batch processes. Clarify technical implementation.</t>
        </is>
      </c>
      <c r="D2" s="6" t="inlineStr">
        <is>
          <t>https://reqcentral.com/wiki/spaces/FES/pages/1143493583/High+Level+Design+Document+-+Contact+Center+-+BAU+R12.0#HighLevelDesignDocumentContactCenterBAUR12.0-2.6.2DataLifecycleandRetention -&gt; 1.3 Solution Summary</t>
        </is>
      </c>
    </row>
    <row r="3">
      <c r="A3" s="6" t="inlineStr">
        <is>
          <t>security</t>
        </is>
      </c>
      <c r="B3" s="6" t="inlineStr">
        <is>
          <t>The document references both 'HLD v1 (Non-PCI)' and 'HLD v1 (PCI)' versions, but the supplied section does not differentiate security controls, data classification, or compliance handling between PCI and non-PCI scenarios. The impact of PCI scope on the data pipeline is not addressed in this section.</t>
        </is>
      </c>
      <c r="C3" s="6" t="inlineStr">
        <is>
          <t>Review the PCI-specific HLD version to confirm that encryption, access controls, audit logging, and data residency meet PCI-DSS requirements. Confirm whether sensitive payment data is included in the data lake and how it is segregated or protected differently from non-PCI data.</t>
        </is>
      </c>
      <c r="D3" s="6" t="inlineStr">
        <is>
          <t>https://reqcentral.com/wiki/spaces/FES/pages/1143493583/High+Level+Design+Document+-+Contact+Center+-+BAU+R12.0#HighLevelDesignDocumentContactCenterBAUR12.0-2.6.2DataLifecycleandRetention -&gt; 1.3 Solution Summary</t>
        </is>
      </c>
    </row>
    <row r="4">
      <c r="A4" s="6" t="inlineStr">
        <is>
          <t>architecture</t>
        </is>
      </c>
      <c r="B4" s="6" t="inlineStr">
        <is>
          <t>The supplied section only contains the placeholder text "Describe any new or updated business and technical assumptions, constraints, risks and dependencies." and does not include the actual assumptions, risks, or constraints needed to evaluate architecture, functional completeness, integration, IVR, or security impacts.</t>
        </is>
      </c>
      <c r="C4" s="6" t="inlineStr">
        <is>
          <t>Provide the populated section content so a reviewer can validate whether the documented assumptions, risks, constraints, and dependencies are complete, internally consistent, and aligned with the surrounding design.</t>
        </is>
      </c>
      <c r="D4" s="6" t="inlineStr">
        <is>
          <t>https://reqcentral.com/wiki/spaces/FES/pages/1143493583/High+Level+Design+Document+-+Contact+Center+-+BAU+R12.0#HighLevelDesignDocumentContactCenterBAUR12.0-2.6.2DataLifecycleandRetention -&gt; 1.5 Assumptions, Risks and Constraints</t>
        </is>
      </c>
    </row>
    <row r="5">
      <c r="A5" s="6" t="inlineStr">
        <is>
          <t>architecture</t>
        </is>
      </c>
      <c r="B5" s="6" t="inlineStr">
        <is>
          <t>The supplied section is a brief impact table listing actors and change/impact flags, but it does not describe the underlying business-process changes, dependencies, or execution flow needed to validate architectural and functional completeness. No visual evidence was provided, so any referenced diagram cannot be checked.</t>
        </is>
      </c>
      <c r="C5" s="6" t="inlineStr">
        <is>
          <t>Human reviewer should validate the source HLD section and any linked diagram or surrounding text to confirm the intended process changes, affected flows, and whether the table entries accurately reflect the designed impacts.</t>
        </is>
      </c>
      <c r="D5" s="6" t="inlineStr">
        <is>
          <t>https://reqcentral.com/wiki/spaces/FES/pages/1143493583/High+Level+Design+Document+-+Contact+Center+-+BAU+R12.0#HighLevelDesignDocumentContactCenterBAUR12.0-2.6.2DataLifecycleandRetention -&gt; 1.6 Business Processes/Considerations</t>
        </is>
      </c>
    </row>
    <row r="6">
      <c r="A6" s="6" t="inlineStr">
        <is>
          <t>security</t>
        </is>
      </c>
      <c r="B6" s="6" t="inlineStr">
        <is>
          <t>The supplied evidence shows tagging values but does not explain how they are enforced, who can change them, or whether they are consistently applied across the resource lifecycle.</t>
        </is>
      </c>
      <c r="C6" s="6" t="inlineStr">
        <is>
          <t>Human reviewer should validate tag enforcement, update process, and consistency of these values in the deployed environment or associated controls.</t>
        </is>
      </c>
      <c r="D6" s="6" t="inlineStr">
        <is>
          <t>https://reqcentral.com/wiki/spaces/FES/pages/1143493583/High+Level+Design+Document+-+Contact+Center+-+BAU+R12.0#HighLevelDesignDocumentContactCenterBAUR12.0-2.6.2DataLifecycleandRetention -&gt; 1.7.3 Tagging</t>
        </is>
      </c>
    </row>
    <row r="7">
      <c r="A7" s="6" t="inlineStr">
        <is>
          <t>architecture</t>
        </is>
      </c>
      <c r="B7" s="6" t="inlineStr">
        <is>
          <t>The diagram labels PCI use cases, non-PCI use cases, and several integrations, but the supplied evidence does not conclusively show the exact data ownership, trust boundaries, or end-to-end interaction contracts for each flow.</t>
        </is>
      </c>
      <c r="C7" s="6" t="inlineStr">
        <is>
          <t>A human reviewer should validate the detailed interface contracts, data classifications, and boundary crossings for the labeled integrations and PCI/non-PCI flows.</t>
        </is>
      </c>
      <c r="D7" s="6" t="inlineStr">
        <is>
          <t>https://reqcentral.com/wiki/spaces/FES/pages/1143493583/High+Level+Design+Document+-+Contact+Center+-+BAU+R12.0#HighLevelDesignDocumentContactCenterBAUR12.0-2.6.2DataLifecycleandRetention -&gt; CDE AWSÂ Account
TSYS
Firewall
Open APIs
TCS Portal
PCI use cases:
1. GetAccountByCard
2. Set/Update PIN
3. Verify PIN
Non-PCI use cases
CDE VPC
X- PLATFORM
Customer
AWS Control plane
IT Admins,
Developers
AWS Control plane
AWS Console
AWS Console
RBConnect Context Diagram
PCI use cases:Â 
4. GetAccountByANI
Create TSYS Interaction
CNX, GS
Dynatrace
RCI Egress + Firewall
Tech Support
IT Admins,
Developers
No Change
New Integration
Existing
New IntegrationÂ 
(PCI)
Separate HLD
Out of Scope
New
Â  Citrix Cloud
RCI MPLS Switch &amp; Firewall
lFirewall
Vendors
(CNX, GS)
Agents
RB
CSR
RB
OpsÂ Mgr
Utility functions
(Report, Routiing, HR-Feed)
Amazon Connect
Rogers Bank DefaultÂ AWS Account
HIYA Call branding
HIYA
CCReport+HRFeed
HR-Feed
Legends
Email
Office 365
Email
Verification Lambda (Dob, OTC, Phone, PAN)
Lex
Athena
QuickSight
Datalake
RB
OpsÂ Mgr
Other-sources</t>
        </is>
      </c>
    </row>
    <row r="8">
      <c r="A8" s="6" t="inlineStr">
        <is>
          <t>architecture</t>
        </is>
      </c>
      <c r="B8" s="6" t="inlineStr">
        <is>
          <t>The section only states that an application communication diagram should depict models, mappings, interfaces, and optional associations; no actual applications, interfaces, dependencies, or data flows are provided in the supplied text, and no visual diagram is available to validate the architecture.</t>
        </is>
      </c>
      <c r="C8" s="6" t="inlineStr">
        <is>
          <t>A human reviewer should inspect the missing diagram and confirm component boundaries, interfaces, and data flows are complete and consistent with the HLD.</t>
        </is>
      </c>
      <c r="D8" s="6" t="inlineStr">
        <is>
          <t>https://reqcentral.com/wiki/spaces/FES/pages/1143493583/High+Level+Design+Document+-+Contact+Center+-+BAU+R12.0#HighLevelDesignDocumentContactCenterBAUR12.0-2.6.2DataLifecycleandRetention -&gt; 2.2 Application Communication</t>
        </is>
      </c>
    </row>
    <row r="9">
      <c r="A9" s="6" t="inlineStr">
        <is>
          <t>architecture</t>
        </is>
      </c>
      <c r="B9" s="6" t="inlineStr">
        <is>
          <t>The diagram labels multiple numbered data flows and systems, but the supplied evidence does not fully specify ownership, runtime triggers, or exact data classifications for every path.</t>
        </is>
      </c>
      <c r="C9" s="6" t="inlineStr">
        <is>
          <t>A human reviewer should validate the end-to-end lifecycle, especially the exact source/owner of each numbered flow and whether any omitted controls exist off-diagram.</t>
        </is>
      </c>
      <c r="D9" s="6" t="inlineStr">
        <is>
          <t>https://reqcentral.com/wiki/spaces/FES/pages/1143493583/High+Level+Design+Document+-+Contact+Center+-+BAU+R12.0#HighLevelDesignDocumentContactCenterBAUR12.0-2.6.2DataLifecycleandRetention -&gt; Customer
Amazon Connect
1b: Send Email
2b: Route
4a: Receive Emails
AWS CloudWatch
3: Logs, Metrics
Amazon Athena
5a: Fresh / Reply Emails
7a: Route
X-Platform
MiddlewareÂ 
Ops Manager
8a: Receive email
Data Lake
WFM Reports
Vendors (CNX, GS) Agent /Â 
Business CSR
Ofice 365
 Â  Â  Â  New Change
SES
2a: Redirect
 Â  Â  Â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row>
  </sheetData>
  <autoFilter ref="A1:D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85" customWidth="1" min="3" max="3"/>
    <col width="80" customWidth="1" min="4" max="4"/>
  </cols>
  <sheetData>
    <row r="1" ht="28" customHeight="1">
      <c r="A1" s="5" t="inlineStr">
        <is>
          <t>Section ID</t>
        </is>
      </c>
      <c r="B1" s="5" t="inlineStr">
        <is>
          <t>Section</t>
        </is>
      </c>
      <c r="C1" s="5" t="inlineStr">
        <is>
          <t>Error</t>
        </is>
      </c>
      <c r="D1" s="5" t="inlineStr">
        <is>
          <t>Raw Response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16" customWidth="1" min="4" max="4"/>
    <col width="18" customWidth="1" min="5" max="5"/>
    <col width="55" customWidth="1" min="6" max="6"/>
    <col width="26" customWidth="1" min="7" max="7"/>
    <col width="18" customWidth="1" min="8" max="8"/>
    <col width="10" customWidth="1" min="9" max="9"/>
    <col width="14" customWidth="1" min="10" max="10"/>
    <col width="15" customWidth="1" min="11" max="11"/>
    <col width="17" customWidth="1" min="12" max="12"/>
    <col width="14" customWidth="1" min="13" max="13"/>
    <col width="14" customWidth="1" min="14" max="14"/>
    <col width="20" customWidth="1" min="15" max="15"/>
    <col width="16" customWidth="1" min="16" max="16"/>
    <col width="14" customWidth="1" min="17" max="17"/>
    <col width="14" customWidth="1" min="18" max="18"/>
    <col width="16" customWidth="1" min="19" max="19"/>
    <col width="14" customWidth="1" min="20" max="20"/>
    <col width="16" customWidth="1" min="21" max="21"/>
    <col width="14" customWidth="1" min="22" max="22"/>
    <col width="12" customWidth="1" min="23" max="23"/>
    <col width="14" customWidth="1" min="24" max="24"/>
    <col width="15" customWidth="1" min="25" max="25"/>
    <col width="14" customWidth="1" min="26" max="26"/>
    <col width="20" customWidth="1" min="27" max="27"/>
    <col width="16" customWidth="1" min="28" max="28"/>
  </cols>
  <sheetData>
    <row r="1" ht="28" customHeight="1">
      <c r="A1" s="5" t="inlineStr">
        <is>
          <t>Section ID</t>
        </is>
      </c>
      <c r="B1" s="5" t="inlineStr">
        <is>
          <t>Section</t>
        </is>
      </c>
      <c r="C1" s="5" t="inlineStr">
        <is>
          <t>Scopes</t>
        </is>
      </c>
      <c r="D1" s="5" t="inlineStr">
        <is>
          <t>Requested Mode</t>
        </is>
      </c>
      <c r="E1" s="5" t="inlineStr">
        <is>
          <t>Requested Auto Tier</t>
        </is>
      </c>
      <c r="F1" s="5" t="inlineStr">
        <is>
          <t>Selection Reason</t>
        </is>
      </c>
      <c r="G1" s="5" t="inlineStr">
        <is>
          <t>Actual Model</t>
        </is>
      </c>
      <c r="H1" s="5" t="inlineStr">
        <is>
          <t>Actual Auto Tier</t>
        </is>
      </c>
      <c r="I1" s="5" t="inlineStr">
        <is>
          <t>Calls</t>
        </is>
      </c>
      <c r="J1" s="5" t="inlineStr">
        <is>
          <t>Input Tokens</t>
        </is>
      </c>
      <c r="K1" s="5" t="inlineStr">
        <is>
          <t>Output Tokens</t>
        </is>
      </c>
      <c r="L1" s="5" t="inlineStr">
        <is>
          <t>Reasoning Tokens</t>
        </is>
      </c>
      <c r="M1" s="5" t="inlineStr">
        <is>
          <t>Total Tokens</t>
        </is>
      </c>
      <c r="N1" s="5" t="inlineStr">
        <is>
          <t>AI Credits</t>
        </is>
      </c>
      <c r="O1" s="5" t="inlineStr">
        <is>
          <t>Premium Request Cost</t>
        </is>
      </c>
      <c r="P1" s="5" t="inlineStr">
        <is>
          <t>Visual Reviewed</t>
        </is>
      </c>
      <c r="Q1" s="5" t="inlineStr">
        <is>
          <t>Turn Status</t>
        </is>
      </c>
      <c r="R1" s="5" t="inlineStr">
        <is>
          <t>Source Chars</t>
        </is>
      </c>
      <c r="S1" s="5" t="inlineStr">
        <is>
          <t>Source Est. Tokens</t>
        </is>
      </c>
      <c r="T1" s="5" t="inlineStr">
        <is>
          <t>Prompt Chars</t>
        </is>
      </c>
      <c r="U1" s="5" t="inlineStr">
        <is>
          <t>Prompt Est. Tokens</t>
        </is>
      </c>
      <c r="V1" s="5" t="inlineStr">
        <is>
          <t>System Chars</t>
        </is>
      </c>
      <c r="W1" s="5" t="inlineStr">
        <is>
          <t>Attachments</t>
        </is>
      </c>
      <c r="X1" s="5" t="inlineStr">
        <is>
          <t>Context Tokens</t>
        </is>
      </c>
      <c r="Y1" s="5" t="inlineStr">
        <is>
          <t>Context Limit</t>
        </is>
      </c>
      <c r="Z1" s="5" t="inlineStr">
        <is>
          <t>Context System</t>
        </is>
      </c>
      <c r="AA1" s="5" t="inlineStr">
        <is>
          <t>Context Conversation</t>
        </is>
      </c>
      <c r="AB1" s="5" t="inlineStr">
        <is>
          <t>Context Tools</t>
        </is>
      </c>
    </row>
    <row r="2">
      <c r="A2" s="6" t="n">
        <v>8</v>
      </c>
      <c r="B2" s="6" t="inlineStr">
        <is>
          <t>1.3 Solution Summary</t>
        </is>
      </c>
      <c r="C2" s="6" t="inlineStr">
        <is>
          <t>architecture, functional, integration, ivr, security</t>
        </is>
      </c>
      <c r="D2" s="6" t="inlineStr">
        <is>
          <t>auto</t>
        </is>
      </c>
      <c r="E2" s="6" t="inlineStr">
        <is>
          <t>intelligence</t>
        </is>
      </c>
      <c r="F2" s="6" t="inlineStr">
        <is>
          <t>high-risk review with elevated textual complexity</t>
        </is>
      </c>
      <c r="G2" s="6" t="inlineStr">
        <is>
          <t>claude-haiku-4.5</t>
        </is>
      </c>
      <c r="H2" s="6" t="inlineStr"/>
      <c r="I2" s="6" t="n">
        <v>1</v>
      </c>
      <c r="J2" s="6" t="n">
        <v>17010</v>
      </c>
      <c r="K2" s="6" t="n">
        <v>4997</v>
      </c>
      <c r="L2" s="6" t="n">
        <v>786</v>
      </c>
      <c r="M2" s="6" t="n">
        <v>22007</v>
      </c>
      <c r="N2" s="6" t="n">
        <v>4.16205</v>
      </c>
      <c r="O2" s="6" t="n">
        <v>0.33</v>
      </c>
      <c r="P2" s="6" t="inlineStr">
        <is>
          <t>No</t>
        </is>
      </c>
      <c r="Q2" s="6" t="inlineStr">
        <is>
          <t>completed</t>
        </is>
      </c>
      <c r="R2" s="6" t="n">
        <v>1025</v>
      </c>
      <c r="S2" s="6" t="n">
        <v>257</v>
      </c>
      <c r="T2" s="6" t="n">
        <v>7237</v>
      </c>
      <c r="U2" s="6" t="n">
        <v>1810</v>
      </c>
      <c r="V2" s="6" t="n">
        <v>493</v>
      </c>
      <c r="W2" s="6" t="n">
        <v>0</v>
      </c>
      <c r="X2" s="6" t="n">
        <v>20765</v>
      </c>
      <c r="Y2" s="6" t="n">
        <v>128000</v>
      </c>
      <c r="Z2" s="6" t="n">
        <v>7291</v>
      </c>
      <c r="AA2" s="6" t="n">
        <v>6842</v>
      </c>
      <c r="AB2" s="6" t="n">
        <v>6632</v>
      </c>
    </row>
    <row r="3">
      <c r="A3" s="6" t="n">
        <v>10</v>
      </c>
      <c r="B3" s="6" t="inlineStr">
        <is>
          <t>1.4.1 In Scope</t>
        </is>
      </c>
      <c r="C3" s="6" t="inlineStr">
        <is>
          <t>architecture, functional, integration, ivr, security</t>
        </is>
      </c>
      <c r="D3" s="6" t="inlineStr">
        <is>
          <t>auto</t>
        </is>
      </c>
      <c r="E3" s="6" t="inlineStr">
        <is>
          <t>intelligence</t>
        </is>
      </c>
      <c r="F3" s="6" t="inlineStr">
        <is>
          <t>high-risk review with elevated textual complexity</t>
        </is>
      </c>
      <c r="G3" s="6" t="inlineStr">
        <is>
          <t>gpt-5.4-mini</t>
        </is>
      </c>
      <c r="H3" s="6" t="inlineStr"/>
      <c r="I3" s="6" t="n">
        <v>1</v>
      </c>
      <c r="J3" s="6" t="n">
        <v>14675</v>
      </c>
      <c r="K3" s="6" t="n">
        <v>311</v>
      </c>
      <c r="L3" s="6" t="n">
        <v>0</v>
      </c>
      <c r="M3" s="6" t="n">
        <v>14986</v>
      </c>
      <c r="N3" s="6" t="n">
        <v>1.1165175</v>
      </c>
      <c r="O3" s="6" t="n">
        <v>0</v>
      </c>
      <c r="P3" s="6" t="inlineStr">
        <is>
          <t>No</t>
        </is>
      </c>
      <c r="Q3" s="6" t="inlineStr">
        <is>
          <t>completed</t>
        </is>
      </c>
      <c r="R3" s="6" t="n">
        <v>316</v>
      </c>
      <c r="S3" s="6" t="n">
        <v>79</v>
      </c>
      <c r="T3" s="6" t="n">
        <v>6498</v>
      </c>
      <c r="U3" s="6" t="n">
        <v>1625</v>
      </c>
      <c r="V3" s="6" t="n">
        <v>493</v>
      </c>
      <c r="W3" s="6" t="n">
        <v>0</v>
      </c>
      <c r="X3" s="6" t="n">
        <v>16997</v>
      </c>
      <c r="Y3" s="6" t="n">
        <v>128000</v>
      </c>
      <c r="Z3" s="6" t="n">
        <v>8699</v>
      </c>
      <c r="AA3" s="6" t="n">
        <v>1991</v>
      </c>
      <c r="AB3" s="6" t="n">
        <v>6307</v>
      </c>
    </row>
    <row r="4">
      <c r="A4" s="6" t="n">
        <v>11</v>
      </c>
      <c r="B4" s="6" t="inlineStr">
        <is>
          <t>1.4.2 Out of Scope</t>
        </is>
      </c>
      <c r="C4" s="6" t="inlineStr">
        <is>
          <t>architecture, functional, integration, ivr, security</t>
        </is>
      </c>
      <c r="D4" s="6" t="inlineStr">
        <is>
          <t>auto</t>
        </is>
      </c>
      <c r="E4" s="6" t="inlineStr">
        <is>
          <t>intelligence</t>
        </is>
      </c>
      <c r="F4" s="6" t="inlineStr">
        <is>
          <t>high-risk review with elevated textual complexity</t>
        </is>
      </c>
      <c r="G4" s="6" t="inlineStr">
        <is>
          <t>gpt-5.4-mini</t>
        </is>
      </c>
      <c r="H4" s="6" t="inlineStr"/>
      <c r="I4" s="6" t="n">
        <v>1</v>
      </c>
      <c r="J4" s="6" t="n">
        <v>14696</v>
      </c>
      <c r="K4" s="6" t="n">
        <v>427</v>
      </c>
      <c r="L4" s="6" t="n">
        <v>0</v>
      </c>
      <c r="M4" s="6" t="n">
        <v>15123</v>
      </c>
      <c r="N4" s="6" t="n">
        <v>0.418419</v>
      </c>
      <c r="O4" s="6" t="n">
        <v>0</v>
      </c>
      <c r="P4" s="6" t="inlineStr">
        <is>
          <t>No</t>
        </is>
      </c>
      <c r="Q4" s="6" t="inlineStr">
        <is>
          <t>completed</t>
        </is>
      </c>
      <c r="R4" s="6" t="n">
        <v>390</v>
      </c>
      <c r="S4" s="6" t="n">
        <v>98</v>
      </c>
      <c r="T4" s="6" t="n">
        <v>6592</v>
      </c>
      <c r="U4" s="6" t="n">
        <v>1648</v>
      </c>
      <c r="V4" s="6" t="n">
        <v>493</v>
      </c>
      <c r="W4" s="6" t="n">
        <v>0</v>
      </c>
      <c r="X4" s="6" t="n">
        <v>17136</v>
      </c>
      <c r="Y4" s="6" t="n">
        <v>128000</v>
      </c>
      <c r="Z4" s="6" t="n">
        <v>8702</v>
      </c>
      <c r="AA4" s="6" t="n">
        <v>2127</v>
      </c>
      <c r="AB4" s="6" t="n">
        <v>6307</v>
      </c>
    </row>
    <row r="5">
      <c r="A5" s="6" t="n">
        <v>12</v>
      </c>
      <c r="B5" s="6" t="inlineStr">
        <is>
          <t>1.4.3 Uses Cases In Scope</t>
        </is>
      </c>
      <c r="C5" s="6" t="inlineStr">
        <is>
          <t>architecture, functional, integration, ivr, security</t>
        </is>
      </c>
      <c r="D5" s="6" t="inlineStr">
        <is>
          <t>auto</t>
        </is>
      </c>
      <c r="E5" s="6" t="inlineStr">
        <is>
          <t>intelligence</t>
        </is>
      </c>
      <c r="F5" s="6" t="inlineStr">
        <is>
          <t>high-risk review with elevated textual complexity</t>
        </is>
      </c>
      <c r="G5" s="6" t="inlineStr">
        <is>
          <t>gpt-5.4-mini</t>
        </is>
      </c>
      <c r="H5" s="6" t="inlineStr"/>
      <c r="I5" s="6" t="n">
        <v>1</v>
      </c>
      <c r="J5" s="6" t="n">
        <v>14761</v>
      </c>
      <c r="K5" s="6" t="n">
        <v>336</v>
      </c>
      <c r="L5" s="6" t="n">
        <v>0</v>
      </c>
      <c r="M5" s="6" t="n">
        <v>15097</v>
      </c>
      <c r="N5" s="6" t="n">
        <v>0.3859515</v>
      </c>
      <c r="O5" s="6" t="n">
        <v>0</v>
      </c>
      <c r="P5" s="6" t="inlineStr">
        <is>
          <t>No</t>
        </is>
      </c>
      <c r="Q5" s="6" t="inlineStr">
        <is>
          <t>completed</t>
        </is>
      </c>
      <c r="R5" s="6" t="n">
        <v>639</v>
      </c>
      <c r="S5" s="6" t="n">
        <v>160</v>
      </c>
      <c r="T5" s="6" t="n">
        <v>6876</v>
      </c>
      <c r="U5" s="6" t="n">
        <v>1719</v>
      </c>
      <c r="V5" s="6" t="n">
        <v>493</v>
      </c>
      <c r="W5" s="6" t="n">
        <v>0</v>
      </c>
      <c r="X5" s="6" t="n">
        <v>17116</v>
      </c>
      <c r="Y5" s="6" t="n">
        <v>128000</v>
      </c>
      <c r="Z5" s="6" t="n">
        <v>8700</v>
      </c>
      <c r="AA5" s="6" t="n">
        <v>2109</v>
      </c>
      <c r="AB5" s="6" t="n">
        <v>6307</v>
      </c>
    </row>
    <row r="6">
      <c r="A6" s="6" t="n">
        <v>14</v>
      </c>
      <c r="B6" s="6" t="inlineStr">
        <is>
          <t>1.5 Assumptions, Risks and Constraints</t>
        </is>
      </c>
      <c r="C6" s="6" t="inlineStr">
        <is>
          <t>architecture, functional, integration, ivr, security</t>
        </is>
      </c>
      <c r="D6" s="6" t="inlineStr">
        <is>
          <t>auto</t>
        </is>
      </c>
      <c r="E6" s="6" t="inlineStr">
        <is>
          <t>intelligence</t>
        </is>
      </c>
      <c r="F6" s="6" t="inlineStr">
        <is>
          <t>high-risk review with elevated textual complexity</t>
        </is>
      </c>
      <c r="G6" s="6" t="inlineStr">
        <is>
          <t>gpt-5.4-mini</t>
        </is>
      </c>
      <c r="H6" s="6" t="inlineStr"/>
      <c r="I6" s="6" t="n">
        <v>1</v>
      </c>
      <c r="J6" s="6" t="n">
        <v>14648</v>
      </c>
      <c r="K6" s="6" t="n">
        <v>329</v>
      </c>
      <c r="L6" s="6" t="n">
        <v>0</v>
      </c>
      <c r="M6" s="6" t="n">
        <v>14977</v>
      </c>
      <c r="N6" s="6" t="n">
        <v>0.375489</v>
      </c>
      <c r="O6" s="6" t="n">
        <v>0</v>
      </c>
      <c r="P6" s="6" t="inlineStr">
        <is>
          <t>No</t>
        </is>
      </c>
      <c r="Q6" s="6" t="inlineStr">
        <is>
          <t>completed</t>
        </is>
      </c>
      <c r="R6" s="6" t="n">
        <v>142</v>
      </c>
      <c r="S6" s="6" t="n">
        <v>36</v>
      </c>
      <c r="T6" s="6" t="n">
        <v>6420</v>
      </c>
      <c r="U6" s="6" t="n">
        <v>1605</v>
      </c>
      <c r="V6" s="6" t="n">
        <v>493</v>
      </c>
      <c r="W6" s="6" t="n">
        <v>0</v>
      </c>
      <c r="X6" s="6" t="n">
        <v>16984</v>
      </c>
      <c r="Y6" s="6" t="n">
        <v>128000</v>
      </c>
      <c r="Z6" s="6" t="n">
        <v>8695</v>
      </c>
      <c r="AA6" s="6" t="n">
        <v>1982</v>
      </c>
      <c r="AB6" s="6" t="n">
        <v>6307</v>
      </c>
    </row>
    <row r="7">
      <c r="A7" s="6" t="n">
        <v>17</v>
      </c>
      <c r="B7" s="6" t="inlineStr">
        <is>
          <t>1.5.3 Limitations</t>
        </is>
      </c>
      <c r="C7" s="6" t="inlineStr">
        <is>
          <t>architecture, functional, integration, ivr, security</t>
        </is>
      </c>
      <c r="D7" s="6" t="inlineStr">
        <is>
          <t>auto</t>
        </is>
      </c>
      <c r="E7" s="6" t="inlineStr">
        <is>
          <t>intelligence</t>
        </is>
      </c>
      <c r="F7" s="6" t="inlineStr">
        <is>
          <t>high-risk review with elevated textual complexity</t>
        </is>
      </c>
      <c r="G7" s="6" t="inlineStr">
        <is>
          <t>gpt-5.4-mini</t>
        </is>
      </c>
      <c r="H7" s="6" t="inlineStr"/>
      <c r="I7" s="6" t="n">
        <v>1</v>
      </c>
      <c r="J7" s="6" t="n">
        <v>14672</v>
      </c>
      <c r="K7" s="6" t="n">
        <v>311</v>
      </c>
      <c r="L7" s="6" t="n">
        <v>0</v>
      </c>
      <c r="M7" s="6" t="n">
        <v>14983</v>
      </c>
      <c r="N7" s="6" t="n">
        <v>0.369819</v>
      </c>
      <c r="O7" s="6" t="n">
        <v>0</v>
      </c>
      <c r="P7" s="6" t="inlineStr">
        <is>
          <t>No</t>
        </is>
      </c>
      <c r="Q7" s="6" t="inlineStr">
        <is>
          <t>completed</t>
        </is>
      </c>
      <c r="R7" s="6" t="n">
        <v>218</v>
      </c>
      <c r="S7" s="6" t="n">
        <v>55</v>
      </c>
      <c r="T7" s="6" t="n">
        <v>6415</v>
      </c>
      <c r="U7" s="6" t="n">
        <v>1604</v>
      </c>
      <c r="V7" s="6" t="n">
        <v>493</v>
      </c>
      <c r="W7" s="6" t="n">
        <v>0</v>
      </c>
      <c r="X7" s="6" t="n">
        <v>16994</v>
      </c>
      <c r="Y7" s="6" t="n">
        <v>128000</v>
      </c>
      <c r="Z7" s="6" t="n">
        <v>8698</v>
      </c>
      <c r="AA7" s="6" t="n">
        <v>1989</v>
      </c>
      <c r="AB7" s="6" t="n">
        <v>6307</v>
      </c>
    </row>
    <row r="8">
      <c r="A8" s="6" t="n">
        <v>18</v>
      </c>
      <c r="B8" s="6" t="inlineStr">
        <is>
          <t>1.5.4 Assumptions</t>
        </is>
      </c>
      <c r="C8" s="6" t="inlineStr">
        <is>
          <t>architecture, functional, integration, ivr, security</t>
        </is>
      </c>
      <c r="D8" s="6" t="inlineStr">
        <is>
          <t>auto</t>
        </is>
      </c>
      <c r="E8" s="6" t="inlineStr">
        <is>
          <t>intelligence</t>
        </is>
      </c>
      <c r="F8" s="6" t="inlineStr">
        <is>
          <t>high-risk review with elevated textual complexity</t>
        </is>
      </c>
      <c r="G8" s="6" t="inlineStr">
        <is>
          <t>gpt-5.4-mini</t>
        </is>
      </c>
      <c r="H8" s="6" t="inlineStr"/>
      <c r="I8" s="6" t="n">
        <v>1</v>
      </c>
      <c r="J8" s="6" t="n">
        <v>14727</v>
      </c>
      <c r="K8" s="6" t="n">
        <v>437</v>
      </c>
      <c r="L8" s="6" t="n">
        <v>0</v>
      </c>
      <c r="M8" s="6" t="n">
        <v>15164</v>
      </c>
      <c r="N8" s="6" t="n">
        <v>0.4245615</v>
      </c>
      <c r="O8" s="6" t="n">
        <v>0</v>
      </c>
      <c r="P8" s="6" t="inlineStr">
        <is>
          <t>No</t>
        </is>
      </c>
      <c r="Q8" s="6" t="inlineStr">
        <is>
          <t>completed</t>
        </is>
      </c>
      <c r="R8" s="6" t="n">
        <v>471</v>
      </c>
      <c r="S8" s="6" t="n">
        <v>118</v>
      </c>
      <c r="T8" s="6" t="n">
        <v>6668</v>
      </c>
      <c r="U8" s="6" t="n">
        <v>1667</v>
      </c>
      <c r="V8" s="6" t="n">
        <v>493</v>
      </c>
      <c r="W8" s="6" t="n">
        <v>0</v>
      </c>
      <c r="X8" s="6" t="n">
        <v>17180</v>
      </c>
      <c r="Y8" s="6" t="n">
        <v>128000</v>
      </c>
      <c r="Z8" s="6" t="n">
        <v>8700</v>
      </c>
      <c r="AA8" s="6" t="n">
        <v>2173</v>
      </c>
      <c r="AB8" s="6" t="n">
        <v>6307</v>
      </c>
    </row>
    <row r="9">
      <c r="A9" s="6" t="n">
        <v>19</v>
      </c>
      <c r="B9" s="6" t="inlineStr">
        <is>
          <t>1.6 Business Processes/Considerations</t>
        </is>
      </c>
      <c r="C9" s="6" t="inlineStr">
        <is>
          <t>architecture, functional, integration, ivr, security</t>
        </is>
      </c>
      <c r="D9" s="6" t="inlineStr">
        <is>
          <t>auto</t>
        </is>
      </c>
      <c r="E9" s="6" t="inlineStr">
        <is>
          <t>intelligence</t>
        </is>
      </c>
      <c r="F9" s="6" t="inlineStr">
        <is>
          <t>high-risk review with elevated textual complexity</t>
        </is>
      </c>
      <c r="G9" s="6" t="inlineStr">
        <is>
          <t>gpt-5.4-mini</t>
        </is>
      </c>
      <c r="H9" s="6" t="inlineStr"/>
      <c r="I9" s="6" t="n">
        <v>1</v>
      </c>
      <c r="J9" s="6" t="n">
        <v>14784</v>
      </c>
      <c r="K9" s="6" t="n">
        <v>398</v>
      </c>
      <c r="L9" s="6" t="n">
        <v>0</v>
      </c>
      <c r="M9" s="6" t="n">
        <v>15182</v>
      </c>
      <c r="N9" s="6" t="n">
        <v>0.412614</v>
      </c>
      <c r="O9" s="6" t="n">
        <v>0</v>
      </c>
      <c r="P9" s="6" t="inlineStr">
        <is>
          <t>No</t>
        </is>
      </c>
      <c r="Q9" s="6" t="inlineStr">
        <is>
          <t>completed</t>
        </is>
      </c>
      <c r="R9" s="6" t="n">
        <v>763</v>
      </c>
      <c r="S9" s="6" t="n">
        <v>191</v>
      </c>
      <c r="T9" s="6" t="n">
        <v>7060</v>
      </c>
      <c r="U9" s="6" t="n">
        <v>1765</v>
      </c>
      <c r="V9" s="6" t="n">
        <v>493</v>
      </c>
      <c r="W9" s="6" t="n">
        <v>0</v>
      </c>
      <c r="X9" s="6" t="n">
        <v>17203</v>
      </c>
      <c r="Y9" s="6" t="n">
        <v>128000</v>
      </c>
      <c r="Z9" s="6" t="n">
        <v>8701</v>
      </c>
      <c r="AA9" s="6" t="n">
        <v>2195</v>
      </c>
      <c r="AB9" s="6" t="n">
        <v>6307</v>
      </c>
    </row>
    <row r="10">
      <c r="A10" s="6" t="n">
        <v>20</v>
      </c>
      <c r="B10" s="6" t="inlineStr">
        <is>
          <t>1.7 Deployment Approach</t>
        </is>
      </c>
      <c r="C10" s="6" t="inlineStr">
        <is>
          <t>architecture, functional, integration, ivr, security</t>
        </is>
      </c>
      <c r="D10" s="6" t="inlineStr">
        <is>
          <t>auto</t>
        </is>
      </c>
      <c r="E10" s="6" t="inlineStr">
        <is>
          <t>intelligence</t>
        </is>
      </c>
      <c r="F10" s="6" t="inlineStr">
        <is>
          <t>high-risk review with elevated textual complexity</t>
        </is>
      </c>
      <c r="G10" s="6" t="inlineStr">
        <is>
          <t>gpt-5.4-mini</t>
        </is>
      </c>
      <c r="H10" s="6" t="inlineStr"/>
      <c r="I10" s="6" t="n">
        <v>1</v>
      </c>
      <c r="J10" s="6" t="n">
        <v>14646</v>
      </c>
      <c r="K10" s="6" t="n">
        <v>435</v>
      </c>
      <c r="L10" s="6" t="n">
        <v>0</v>
      </c>
      <c r="M10" s="6" t="n">
        <v>15081</v>
      </c>
      <c r="N10" s="6" t="n">
        <v>0.418284</v>
      </c>
      <c r="O10" s="6" t="n">
        <v>0</v>
      </c>
      <c r="P10" s="6" t="inlineStr">
        <is>
          <t>No</t>
        </is>
      </c>
      <c r="Q10" s="6" t="inlineStr">
        <is>
          <t>completed</t>
        </is>
      </c>
      <c r="R10" s="6" t="n">
        <v>152</v>
      </c>
      <c r="S10" s="6" t="n">
        <v>38</v>
      </c>
      <c r="T10" s="6" t="n">
        <v>6379</v>
      </c>
      <c r="U10" s="6" t="n">
        <v>1595</v>
      </c>
      <c r="V10" s="6" t="n">
        <v>493</v>
      </c>
      <c r="W10" s="6" t="n">
        <v>0</v>
      </c>
      <c r="X10" s="6" t="n">
        <v>17089</v>
      </c>
      <c r="Y10" s="6" t="n">
        <v>128000</v>
      </c>
      <c r="Z10" s="6" t="n">
        <v>8698</v>
      </c>
      <c r="AA10" s="6" t="n">
        <v>2084</v>
      </c>
      <c r="AB10" s="6" t="n">
        <v>6307</v>
      </c>
    </row>
    <row r="11">
      <c r="A11" s="6" t="n">
        <v>22</v>
      </c>
      <c r="B11" s="6" t="inlineStr">
        <is>
          <t>1.7.2 Deployment Method</t>
        </is>
      </c>
      <c r="C11" s="6" t="inlineStr">
        <is>
          <t>architecture, functional, integration, ivr, security</t>
        </is>
      </c>
      <c r="D11" s="6" t="inlineStr">
        <is>
          <t>auto</t>
        </is>
      </c>
      <c r="E11" s="6" t="inlineStr">
        <is>
          <t>intelligence</t>
        </is>
      </c>
      <c r="F11" s="6" t="inlineStr">
        <is>
          <t>high-risk review with elevated textual complexity</t>
        </is>
      </c>
      <c r="G11" s="6" t="inlineStr">
        <is>
          <t>gpt-5.4-mini</t>
        </is>
      </c>
      <c r="H11" s="6" t="inlineStr"/>
      <c r="I11" s="6" t="n">
        <v>1</v>
      </c>
      <c r="J11" s="6" t="n">
        <v>14648</v>
      </c>
      <c r="K11" s="6" t="n">
        <v>361</v>
      </c>
      <c r="L11" s="6" t="n">
        <v>0</v>
      </c>
      <c r="M11" s="6" t="n">
        <v>15009</v>
      </c>
      <c r="N11" s="6" t="n">
        <v>0.388449</v>
      </c>
      <c r="O11" s="6" t="n">
        <v>0</v>
      </c>
      <c r="P11" s="6" t="inlineStr">
        <is>
          <t>No</t>
        </is>
      </c>
      <c r="Q11" s="6" t="inlineStr">
        <is>
          <t>completed</t>
        </is>
      </c>
      <c r="R11" s="6" t="n">
        <v>105</v>
      </c>
      <c r="S11" s="6" t="n">
        <v>27</v>
      </c>
      <c r="T11" s="6" t="n">
        <v>6332</v>
      </c>
      <c r="U11" s="6" t="n">
        <v>1583</v>
      </c>
      <c r="V11" s="6" t="n">
        <v>493</v>
      </c>
      <c r="W11" s="6" t="n">
        <v>0</v>
      </c>
      <c r="X11" s="6" t="n">
        <v>17017</v>
      </c>
      <c r="Y11" s="6" t="n">
        <v>128000</v>
      </c>
      <c r="Z11" s="6" t="n">
        <v>8701</v>
      </c>
      <c r="AA11" s="6" t="n">
        <v>2009</v>
      </c>
      <c r="AB11" s="6" t="n">
        <v>6307</v>
      </c>
    </row>
    <row r="12">
      <c r="A12" s="6" t="n">
        <v>23</v>
      </c>
      <c r="B12" s="6" t="inlineStr">
        <is>
          <t>1.7.3 Tagging</t>
        </is>
      </c>
      <c r="C12" s="6" t="inlineStr">
        <is>
          <t>architecture, functional, integration, ivr, security</t>
        </is>
      </c>
      <c r="D12" s="6" t="inlineStr">
        <is>
          <t>auto</t>
        </is>
      </c>
      <c r="E12" s="6" t="inlineStr">
        <is>
          <t>intelligence</t>
        </is>
      </c>
      <c r="F12" s="6" t="inlineStr">
        <is>
          <t>high-risk review with elevated textual complexity</t>
        </is>
      </c>
      <c r="G12" s="6" t="inlineStr">
        <is>
          <t>gpt-5.4-mini</t>
        </is>
      </c>
      <c r="H12" s="6" t="inlineStr"/>
      <c r="I12" s="6" t="n">
        <v>1</v>
      </c>
      <c r="J12" s="6" t="n">
        <v>14867</v>
      </c>
      <c r="K12" s="6" t="n">
        <v>437</v>
      </c>
      <c r="L12" s="6" t="n">
        <v>0</v>
      </c>
      <c r="M12" s="6" t="n">
        <v>15304</v>
      </c>
      <c r="N12" s="6" t="n">
        <v>0.4340115</v>
      </c>
      <c r="O12" s="6" t="n">
        <v>0</v>
      </c>
      <c r="P12" s="6" t="inlineStr">
        <is>
          <t>No</t>
        </is>
      </c>
      <c r="Q12" s="6" t="inlineStr">
        <is>
          <t>completed</t>
        </is>
      </c>
      <c r="R12" s="6" t="n">
        <v>1135</v>
      </c>
      <c r="S12" s="6" t="n">
        <v>284</v>
      </c>
      <c r="T12" s="6" t="n">
        <v>7312</v>
      </c>
      <c r="U12" s="6" t="n">
        <v>1828</v>
      </c>
      <c r="V12" s="6" t="n">
        <v>493</v>
      </c>
      <c r="W12" s="6" t="n">
        <v>0</v>
      </c>
      <c r="X12" s="6" t="n">
        <v>17334</v>
      </c>
      <c r="Y12" s="6" t="n">
        <v>128000</v>
      </c>
      <c r="Z12" s="6" t="n">
        <v>8702</v>
      </c>
      <c r="AA12" s="6" t="n">
        <v>2325</v>
      </c>
      <c r="AB12" s="6" t="n">
        <v>6307</v>
      </c>
    </row>
    <row r="13">
      <c r="A13" s="6" t="n">
        <v>26</v>
      </c>
      <c r="B13" s="6" t="inlineStr">
        <is>
          <t>CDE AWS Account
TSYS
Firewall
Open APIs
TCS Portal
PCI use cases:
1. GetAccountByCard
2. Set/Update PIN
3. Verify PIN
Non-PCI use cases
CDE VPC
X- PLATFORM
Customer
AWS Control plane
IT Admins,
Developers
AWS Control plane
AWS Console
AWS Console
RBConnect Context Diagram
PCI use cases: 
4. GetAccountByANI
Create TSYS Interaction
CNX, GS
Dynatrace
RCI Egress + Firewall
Tech Support
IT Admins,
Developers
No Change
New Integration
Existing
New Integration 
(PCI)
Separate HLD
Out of Scope
New
  Citrix Cloud
RCI MPLS Switch &amp; Firewall
lFirewall
Vendors
(CNX, GS)
Agents
RB
CSR
RB
Ops Mgr
Utility functions
(Report, Routiing, HR-Feed)
Amazon Connect
Rogers Bank Default AWS Account
HIYA Call branding
HIYA
CCReport+HRFeed
HR-Feed
Legends
Email
Office 365
Email
Verification Lambda (Dob, OTC, Phone, PAN)
Lex
Athena
QuickSight
Datalake
RB
Ops Mgr
Other-sources</t>
        </is>
      </c>
      <c r="C13" s="6" t="inlineStr">
        <is>
          <t>architecture, functional, integration, ivr, security</t>
        </is>
      </c>
      <c r="D13" s="6" t="inlineStr">
        <is>
          <t>auto</t>
        </is>
      </c>
      <c r="E13" s="6" t="inlineStr">
        <is>
          <t>intelligence</t>
        </is>
      </c>
      <c r="F13" s="6" t="inlineStr">
        <is>
          <t>attached visual evidence combined with high-risk security/vulnerability/compliance review</t>
        </is>
      </c>
      <c r="G13" s="6" t="inlineStr">
        <is>
          <t>gpt-5.4-mini</t>
        </is>
      </c>
      <c r="H13" s="6" t="inlineStr"/>
      <c r="I13" s="6" t="n">
        <v>1</v>
      </c>
      <c r="J13" s="6" t="n">
        <v>17846</v>
      </c>
      <c r="K13" s="6" t="n">
        <v>1308</v>
      </c>
      <c r="L13" s="6" t="n">
        <v>0</v>
      </c>
      <c r="M13" s="6" t="n">
        <v>19154</v>
      </c>
      <c r="N13" s="6" t="n">
        <v>1.734345</v>
      </c>
      <c r="O13" s="6" t="n">
        <v>0</v>
      </c>
      <c r="P13" s="6" t="inlineStr">
        <is>
          <t>Yes</t>
        </is>
      </c>
      <c r="Q13" s="6" t="inlineStr">
        <is>
          <t>completed</t>
        </is>
      </c>
      <c r="R13" s="6" t="n">
        <v>819</v>
      </c>
      <c r="S13" s="6" t="n">
        <v>205</v>
      </c>
      <c r="T13" s="6" t="n">
        <v>11649</v>
      </c>
      <c r="U13" s="6" t="n">
        <v>2913</v>
      </c>
      <c r="V13" s="6" t="n">
        <v>493</v>
      </c>
      <c r="W13" s="6" t="n">
        <v>1</v>
      </c>
      <c r="X13" s="6" t="n">
        <v>20573</v>
      </c>
      <c r="Y13" s="6" t="n">
        <v>128000</v>
      </c>
      <c r="Z13" s="6" t="n">
        <v>8701</v>
      </c>
      <c r="AA13" s="6" t="n">
        <v>5565</v>
      </c>
      <c r="AB13" s="6" t="n">
        <v>6307</v>
      </c>
    </row>
    <row r="14">
      <c r="A14" s="6" t="n">
        <v>28</v>
      </c>
      <c r="B14" s="6" t="inlineStr">
        <is>
          <t>2.2 Application Communication</t>
        </is>
      </c>
      <c r="C14" s="6" t="inlineStr">
        <is>
          <t>architecture, functional, integration, ivr, security</t>
        </is>
      </c>
      <c r="D14" s="6" t="inlineStr">
        <is>
          <t>auto</t>
        </is>
      </c>
      <c r="E14" s="6" t="inlineStr">
        <is>
          <t>intelligence</t>
        </is>
      </c>
      <c r="F14" s="6" t="inlineStr">
        <is>
          <t>high-risk review with elevated textual complexity</t>
        </is>
      </c>
      <c r="G14" s="6" t="inlineStr">
        <is>
          <t>gpt-5.4-mini</t>
        </is>
      </c>
      <c r="H14" s="6" t="inlineStr"/>
      <c r="I14" s="6" t="n">
        <v>1</v>
      </c>
      <c r="J14" s="6" t="n">
        <v>14717</v>
      </c>
      <c r="K14" s="6" t="n">
        <v>369</v>
      </c>
      <c r="L14" s="6" t="n">
        <v>0</v>
      </c>
      <c r="M14" s="6" t="n">
        <v>15086</v>
      </c>
      <c r="N14" s="6" t="n">
        <v>0.3963465</v>
      </c>
      <c r="O14" s="6" t="n">
        <v>0</v>
      </c>
      <c r="P14" s="6" t="inlineStr">
        <is>
          <t>No</t>
        </is>
      </c>
      <c r="Q14" s="6" t="inlineStr">
        <is>
          <t>completed</t>
        </is>
      </c>
      <c r="R14" s="6" t="n">
        <v>632</v>
      </c>
      <c r="S14" s="6" t="n">
        <v>158</v>
      </c>
      <c r="T14" s="6" t="n">
        <v>6865</v>
      </c>
      <c r="U14" s="6" t="n">
        <v>1717</v>
      </c>
      <c r="V14" s="6" t="n">
        <v>493</v>
      </c>
      <c r="W14" s="6" t="n">
        <v>0</v>
      </c>
      <c r="X14" s="6" t="n">
        <v>17101</v>
      </c>
      <c r="Y14" s="6" t="n">
        <v>128000</v>
      </c>
      <c r="Z14" s="6" t="n">
        <v>8698</v>
      </c>
      <c r="AA14" s="6" t="n">
        <v>2096</v>
      </c>
      <c r="AB14" s="6" t="n">
        <v>6307</v>
      </c>
    </row>
    <row r="15">
      <c r="A15" s="6" t="n">
        <v>29</v>
      </c>
      <c r="B15" s="6" t="inlineStr">
        <is>
          <t>Customer
Amazon Connect
1b: Send Email
2b: Route
4a: Receive Emails
AWS CloudWatch
3: Logs, Metrics
Amazon Athena
5a: Fresh / Reply Emails
7a: Route
X-Platform
Middleware 
Ops Manager
8a: Receive email
Data Lake
WFM Reports
Vendors (CNX, GS) Agent / 
Business CSR
Ofice 365
        New Change
SES
2a: Redirect
        New Interaction
1a: Call
Data Generation
Data Query &amp; Visualiation
AWS Glue Data Catelog
QuickSight
AWS LakeFormation
2. GetMetadata
3. Check Permission
4. Get Cred
5.Get Data (Connect Customer)
Ops Manager
s3
6.store
1. fetch
s3
AWS Data Export
AWS Data Export
(acc-PCI)
A. Export
5a. GetData (AWS Cost)
AWS CloudWatch
log-group (connect)
5b.GetData (IVR)</t>
        </is>
      </c>
      <c r="C15" s="6" t="inlineStr">
        <is>
          <t>architecture, functional, integration, ivr, security</t>
        </is>
      </c>
      <c r="D15" s="6" t="inlineStr">
        <is>
          <t>auto</t>
        </is>
      </c>
      <c r="E15" s="6" t="inlineStr">
        <is>
          <t>intelligence</t>
        </is>
      </c>
      <c r="F15" s="6" t="inlineStr">
        <is>
          <t>attached visual evidence combined with high-risk security/vulnerability/compliance review</t>
        </is>
      </c>
      <c r="G15" s="6" t="inlineStr">
        <is>
          <t>gpt-5.4-mini</t>
        </is>
      </c>
      <c r="H15" s="6" t="inlineStr"/>
      <c r="I15" s="6" t="n">
        <v>1</v>
      </c>
      <c r="J15" s="6" t="n">
        <v>18924</v>
      </c>
      <c r="K15" s="6" t="n">
        <v>3163</v>
      </c>
      <c r="L15" s="6" t="n">
        <v>0</v>
      </c>
      <c r="M15" s="6" t="n">
        <v>22087</v>
      </c>
      <c r="N15" s="6" t="n">
        <v>1.811889</v>
      </c>
      <c r="O15" s="6" t="n">
        <v>0</v>
      </c>
      <c r="P15" s="6" t="inlineStr">
        <is>
          <t>Yes</t>
        </is>
      </c>
      <c r="Q15" s="6" t="inlineStr">
        <is>
          <t>completed</t>
        </is>
      </c>
      <c r="R15" s="6" t="n">
        <v>653</v>
      </c>
      <c r="S15" s="6" t="n">
        <v>164</v>
      </c>
      <c r="T15" s="6" t="n">
        <v>10460</v>
      </c>
      <c r="U15" s="6" t="n">
        <v>2615</v>
      </c>
      <c r="V15" s="6" t="n">
        <v>493</v>
      </c>
      <c r="W15" s="6" t="n">
        <v>1</v>
      </c>
      <c r="X15" s="6" t="n">
        <v>22035</v>
      </c>
      <c r="Y15" s="6" t="n">
        <v>128000</v>
      </c>
      <c r="Z15" s="6" t="n">
        <v>8701</v>
      </c>
      <c r="AA15" s="6" t="n">
        <v>7027</v>
      </c>
      <c r="AB15" s="6" t="n">
        <v>6307</v>
      </c>
    </row>
  </sheetData>
  <autoFilter ref="A1:Z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16" customWidth="1" min="4" max="4"/>
    <col width="16" customWidth="1" min="5" max="5"/>
    <col width="18" customWidth="1" min="6" max="6"/>
    <col width="14" customWidth="1" min="7" max="7"/>
    <col width="35" customWidth="1" min="8" max="8"/>
  </cols>
  <sheetData>
    <row r="1" ht="28" customHeight="1">
      <c r="A1" s="5" t="inlineStr">
        <is>
          <t>Requested Auto Tier</t>
        </is>
      </c>
      <c r="B1" s="5" t="inlineStr">
        <is>
          <t>Sections</t>
        </is>
      </c>
      <c r="C1" s="5" t="inlineStr">
        <is>
          <t>Model Calls</t>
        </is>
      </c>
      <c r="D1" s="5" t="inlineStr">
        <is>
          <t>Input Tokens</t>
        </is>
      </c>
      <c r="E1" s="5" t="inlineStr">
        <is>
          <t>Output Tokens</t>
        </is>
      </c>
      <c r="F1" s="5" t="inlineStr">
        <is>
          <t>Reasoning Tokens</t>
        </is>
      </c>
      <c r="G1" s="5" t="inlineStr">
        <is>
          <t>AI Credits</t>
        </is>
      </c>
      <c r="H1" s="5" t="inlineStr">
        <is>
          <t>Actual Models</t>
        </is>
      </c>
    </row>
    <row r="2">
      <c r="A2" s="6" t="inlineStr">
        <is>
          <t>intelligence</t>
        </is>
      </c>
      <c r="B2" s="6" t="n">
        <v>14</v>
      </c>
      <c r="C2" s="6" t="n">
        <v>14</v>
      </c>
      <c r="D2" s="6" t="n">
        <v>215621</v>
      </c>
      <c r="E2" s="6" t="n">
        <v>13619</v>
      </c>
      <c r="F2" s="6" t="n">
        <v>786</v>
      </c>
      <c r="G2" s="6" t="n">
        <v>12.8487465</v>
      </c>
      <c r="H2" s="6" t="inlineStr">
        <is>
          <t>claude-haiku-4.5, gpt-5.4-mini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32" customWidth="1" min="4" max="4"/>
  </cols>
  <sheetData>
    <row r="1" ht="28" customHeight="1">
      <c r="A1" s="5" t="inlineStr">
        <is>
          <t>Scope</t>
        </is>
      </c>
      <c r="B1" s="5" t="inlineStr">
        <is>
          <t>Sections Reviewed</t>
        </is>
      </c>
      <c r="C1" s="5" t="inlineStr">
        <is>
          <t>Shared Model Calls</t>
        </is>
      </c>
      <c r="D1" s="5" t="inlineStr">
        <is>
          <t>Attribution</t>
        </is>
      </c>
    </row>
    <row r="2">
      <c r="A2" s="6" t="inlineStr">
        <is>
          <t>architecture</t>
        </is>
      </c>
      <c r="B2" s="6" t="n">
        <v>14</v>
      </c>
      <c r="C2" s="6" t="n">
        <v>14</v>
      </c>
      <c r="D2" s="6" t="inlineStr">
        <is>
          <t>shared-section-call</t>
        </is>
      </c>
    </row>
    <row r="3">
      <c r="A3" s="6" t="inlineStr">
        <is>
          <t>functional</t>
        </is>
      </c>
      <c r="B3" s="6" t="n">
        <v>14</v>
      </c>
      <c r="C3" s="6" t="n">
        <v>14</v>
      </c>
      <c r="D3" s="6" t="inlineStr">
        <is>
          <t>shared-section-call</t>
        </is>
      </c>
    </row>
    <row r="4">
      <c r="A4" s="6" t="inlineStr">
        <is>
          <t>integration</t>
        </is>
      </c>
      <c r="B4" s="6" t="n">
        <v>14</v>
      </c>
      <c r="C4" s="6" t="n">
        <v>14</v>
      </c>
      <c r="D4" s="6" t="inlineStr">
        <is>
          <t>shared-section-call</t>
        </is>
      </c>
    </row>
    <row r="5">
      <c r="A5" s="6" t="inlineStr">
        <is>
          <t>ivr</t>
        </is>
      </c>
      <c r="B5" s="6" t="n">
        <v>14</v>
      </c>
      <c r="C5" s="6" t="n">
        <v>14</v>
      </c>
      <c r="D5" s="6" t="inlineStr">
        <is>
          <t>shared-section-call</t>
        </is>
      </c>
    </row>
    <row r="6">
      <c r="A6" s="6" t="inlineStr">
        <is>
          <t>security</t>
        </is>
      </c>
      <c r="B6" s="6" t="n">
        <v>14</v>
      </c>
      <c r="C6" s="6" t="n">
        <v>14</v>
      </c>
      <c r="D6" s="6" t="inlineStr">
        <is>
          <t>shared-section-call</t>
        </is>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6" customWidth="1" min="4" max="4"/>
    <col width="18" customWidth="1" min="5" max="5"/>
    <col width="16" customWidth="1" min="6" max="6"/>
  </cols>
  <sheetData>
    <row r="1" ht="28" customHeight="1">
      <c r="A1" s="5" t="inlineStr">
        <is>
          <t>Model</t>
        </is>
      </c>
      <c r="B1" s="5" t="inlineStr">
        <is>
          <t>Calls</t>
        </is>
      </c>
      <c r="C1" s="5" t="inlineStr">
        <is>
          <t>Input Tokens</t>
        </is>
      </c>
      <c r="D1" s="5" t="inlineStr">
        <is>
          <t>Output Tokens</t>
        </is>
      </c>
      <c r="E1" s="5" t="inlineStr">
        <is>
          <t>Reasoning Tokens</t>
        </is>
      </c>
      <c r="F1" s="5" t="inlineStr">
        <is>
          <t>AI Credits</t>
        </is>
      </c>
    </row>
    <row r="2">
      <c r="A2" s="6" t="inlineStr">
        <is>
          <t>claude-haiku-4.5</t>
        </is>
      </c>
      <c r="B2" s="6" t="n">
        <v>1</v>
      </c>
      <c r="C2" s="6" t="n">
        <v>17010</v>
      </c>
      <c r="D2" s="6" t="n">
        <v>4997</v>
      </c>
      <c r="E2" s="6" t="n">
        <v>786</v>
      </c>
      <c r="F2" s="6" t="n">
        <v>4.16205</v>
      </c>
    </row>
    <row r="3">
      <c r="A3" s="6" t="inlineStr">
        <is>
          <t>gpt-5.4-mini</t>
        </is>
      </c>
      <c r="B3" s="6" t="n">
        <v>13</v>
      </c>
      <c r="C3" s="6" t="n">
        <v>198611</v>
      </c>
      <c r="D3" s="6" t="n">
        <v>8622</v>
      </c>
      <c r="E3" s="6" t="n">
        <v>0</v>
      </c>
      <c r="F3" s="6" t="n">
        <v>8.6866965</v>
      </c>
    </row>
  </sheetData>
  <autoFilter ref="A1:F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pane ySplit="1" topLeftCell="A2" activePane="bottomLeft" state="frozen"/>
      <selection pane="bottomLeft" activeCell="A1" sqref="A1"/>
    </sheetView>
  </sheetViews>
  <sheetFormatPr baseColWidth="8" defaultRowHeight="15"/>
  <cols>
    <col width="110" customWidth="1" min="1" max="1"/>
  </cols>
  <sheetData>
    <row r="1" ht="28" customHeight="1">
      <c r="A1" s="5" t="inlineStr">
        <is>
          <t>Note</t>
        </is>
      </c>
    </row>
    <row r="2">
      <c r="A2" s="6" t="inlineStr">
        <is>
          <t>The current export is built from the completed review result. Section-level review evidence and AI telemetry are included; full Phase-1 inventory can be added when required.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3" t="inlineStr">
        <is>
          <t>Report Notes</t>
        </is>
      </c>
    </row>
    <row r="2">
      <c r="A2" s="3" t="inlineStr">
        <is>
          <t>Actual model/token usage is sourced from Copilot SDK telemetry when available.</t>
        </is>
      </c>
    </row>
    <row r="3">
      <c r="A3" s="3" t="inlineStr">
        <is>
          <t>Source/prompt token values marked as estimated are diagnostics only, not billing values.</t>
        </is>
      </c>
    </row>
    <row r="4">
      <c r="A4" s="3" t="inlineStr">
        <is>
          <t>When multiple review scopes share one section-level Copilot turn, usage is reported at the section/call level and is not artificially divided across scopes.</t>
        </is>
      </c>
    </row>
    <row r="5">
      <c r="A5" s="3" t="inlineStr">
        <is>
          <t>The application selects an Auto routing tier (efficiency, balance, or intelligence) based on content type, visual evidence, and selected review scopes; GitHub Copilot Auto selects the actual model.</t>
        </is>
      </c>
    </row>
    <row r="6">
      <c r="A6" s="3" t="inlineStr">
        <is>
          <t>Actual model and effective Auto tier are captured from Copilot SDK session telemetry where available. Requested tier is an application routing preference, not an assertion of the model selected.</t>
        </is>
      </c>
    </row>
    <row r="7">
      <c r="A7" s="3" t="inlineStr">
        <is>
          <t>SDK AI credits are shown as a convenience conversion from totalNanoAiu; validate current GitHub billing semantics before using for accounting.</t>
        </is>
      </c>
    </row>
    <row r="8">
      <c r="A8" s="3" t="inlineStr">
        <is>
          <t>Review failures are separated from findings and do not imply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2026-09-22T17:11:09Z</dcterms:created>
  <dcterms:modified xsi:type="dcterms:W3CDTF">2026-09-22T17:11:10Z</dcterms:modified>
</cp:coreProperties>
</file>
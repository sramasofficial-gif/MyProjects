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Findings" sheetId="2" state="visible" r:id="rId2"/>
    <sheet name="Passed Checks" sheetId="3" state="visible" r:id="rId3"/>
    <sheet name="Manual Review" sheetId="4" state="visible" r:id="rId4"/>
    <sheet name="Review Errors" sheetId="5" state="visible" r:id="rId5"/>
    <sheet name="AI Telemetry" sheetId="6" state="visible" r:id="rId6"/>
    <sheet name="Auto Routing" sheetId="7" state="visible" r:id="rId7"/>
    <sheet name="Scope Coverage" sheetId="8" state="visible" r:id="rId8"/>
    <sheet name="Model Usage" sheetId="9" state="visible" r:id="rId9"/>
    <sheet name="Section Inventory" sheetId="10" state="visible" r:id="rId10"/>
    <sheet name="Read Me" sheetId="11" state="visible" r:id="rId11"/>
  </sheets>
  <definedNames>
    <definedName name="_xlnm._FilterDatabase" localSheetId="1" hidden="1">'Findings'!$A$1:$M$44</definedName>
    <definedName name="_xlnm._FilterDatabase" localSheetId="2" hidden="1">'Passed Checks'!$A$1:$F$13</definedName>
    <definedName name="_xlnm._FilterDatabase" localSheetId="3" hidden="1">'Manual Review'!$A$1:$D$36</definedName>
    <definedName name="_xlnm._FilterDatabase" localSheetId="4" hidden="1">'Review Errors'!$A$1:$D$1</definedName>
    <definedName name="_xlnm._FilterDatabase" localSheetId="5" hidden="1">'AI Telemetry'!$A$1:$Z$13</definedName>
    <definedName name="_xlnm._FilterDatabase" localSheetId="6" hidden="1">'Auto Routing'!$A$1:$H$2</definedName>
    <definedName name="_xlnm._FilterDatabase" localSheetId="7" hidden="1">'Scope Coverage'!$A$1:$D$5</definedName>
    <definedName name="_xlnm._FilterDatabase" localSheetId="8" hidden="1">'Model Usage'!$A$1:$F$2</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b val="1"/>
      <color rgb="00FFFFFF"/>
      <sz val="18"/>
    </font>
    <font>
      <b val="1"/>
      <color rgb="004A5A6B"/>
    </font>
    <font>
      <b val="1"/>
      <color rgb="00FFFFFF"/>
    </font>
  </fonts>
  <fills count="9">
    <fill>
      <patternFill/>
    </fill>
    <fill>
      <patternFill patternType="gray125"/>
    </fill>
    <fill>
      <patternFill patternType="solid">
        <fgColor rgb="0016324F"/>
      </patternFill>
    </fill>
    <fill>
      <patternFill patternType="solid">
        <fgColor rgb="00EEF1F4"/>
      </patternFill>
    </fill>
    <fill>
      <patternFill patternType="solid">
        <fgColor rgb="002A5B8C"/>
      </patternFill>
    </fill>
    <fill>
      <patternFill patternType="solid">
        <fgColor rgb="00FBEAD9"/>
      </patternFill>
    </fill>
    <fill>
      <patternFill patternType="solid">
        <fgColor rgb="00FCE4D6"/>
      </patternFill>
    </fill>
    <fill>
      <patternFill patternType="solid">
        <fgColor rgb="00FFF2CC"/>
      </patternFill>
    </fill>
    <fill>
      <patternFill patternType="solid">
        <fgColor rgb="00EDEDED"/>
      </patternFill>
    </fill>
  </fills>
  <borders count="2">
    <border>
      <left/>
      <right/>
      <top/>
      <bottom/>
      <diagonal/>
    </border>
    <border>
      <bottom style="thin">
        <color rgb="00D9E0E7"/>
      </bottom>
    </border>
  </borders>
  <cellStyleXfs count="1">
    <xf numFmtId="0" fontId="0" fillId="0" borderId="0"/>
  </cellStyleXfs>
  <cellXfs count="11">
    <xf numFmtId="0" fontId="0" fillId="0" borderId="0" pivotButton="0" quotePrefix="0" xfId="0"/>
    <xf numFmtId="0" fontId="1" fillId="2" borderId="0" pivotButton="0" quotePrefix="0" xfId="0"/>
    <xf numFmtId="0" fontId="2" fillId="3"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xf numFmtId="0" fontId="3" fillId="4" borderId="0" applyAlignment="1" pivotButton="0" quotePrefix="0" xfId="0">
      <alignment vertical="center" wrapText="1"/>
    </xf>
    <xf numFmtId="0" fontId="0" fillId="0"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28" customWidth="1" min="1" max="1"/>
    <col width="78" customWidth="1" min="2" max="2"/>
    <col width="18" customWidth="1" min="3" max="3"/>
    <col width="18" customWidth="1" min="4" max="4"/>
    <col width="18" customWidth="1" min="5" max="5"/>
    <col width="18" customWidth="1" min="6" max="6"/>
  </cols>
  <sheetData>
    <row r="1">
      <c r="A1" s="1" t="inlineStr">
        <is>
          <t>IVR SDLC Automated Analyst Platform - HLD Review</t>
        </is>
      </c>
    </row>
    <row r="3">
      <c r="A3" s="2" t="inlineStr">
        <is>
          <t>Document</t>
        </is>
      </c>
      <c r="B3" s="3" t="inlineStr">
        <is>
          <t>https://reqcentral.com/wiki/spaces/FES/pages/1143493583/High+Level+Design+Document+-+Contact+Center+-+BAU+R12.0#HighLevelDesignDocumentContactCenterBAUR12.0-2.6.2DataLifecycleandRetention</t>
        </is>
      </c>
    </row>
    <row r="4">
      <c r="A4" s="2" t="inlineStr">
        <is>
          <t>Review status</t>
        </is>
      </c>
      <c r="B4" s="3" t="inlineStr">
        <is>
          <t>FINDINGS</t>
        </is>
      </c>
    </row>
    <row r="5">
      <c r="A5" s="2" t="inlineStr">
        <is>
          <t>Sections reviewed</t>
        </is>
      </c>
      <c r="B5" s="3" t="n">
        <v>12</v>
      </c>
    </row>
    <row r="6">
      <c r="A6" s="2" t="inlineStr">
        <is>
          <t>Findings</t>
        </is>
      </c>
      <c r="B6" s="3">
        <f>COUNTA(Findings!A:A)-1</f>
        <v/>
      </c>
    </row>
    <row r="7">
      <c r="A7" s="2" t="inlineStr">
        <is>
          <t>Passed checks</t>
        </is>
      </c>
      <c r="B7" s="3">
        <f>COUNTA('Passed Checks'!A:A)-1</f>
        <v/>
      </c>
    </row>
    <row r="8">
      <c r="A8" s="2" t="inlineStr">
        <is>
          <t>Manual review</t>
        </is>
      </c>
      <c r="B8" s="3">
        <f>COUNTA('Manual Review'!A:A)-1</f>
        <v/>
      </c>
    </row>
    <row r="9">
      <c r="A9" s="2" t="inlineStr">
        <is>
          <t>Review errors</t>
        </is>
      </c>
      <c r="B9" s="3">
        <f>COUNTA('Review Errors'!A:A)-1</f>
        <v/>
      </c>
    </row>
    <row r="11">
      <c r="A11" s="2" t="inlineStr">
        <is>
          <t>Actual model calls</t>
        </is>
      </c>
      <c r="B11" s="3" t="n">
        <v>12</v>
      </c>
    </row>
    <row r="12">
      <c r="A12" s="2" t="inlineStr">
        <is>
          <t>Actual input tokens</t>
        </is>
      </c>
      <c r="B12" s="3" t="n">
        <v>289800</v>
      </c>
    </row>
    <row r="13">
      <c r="A13" s="2" t="inlineStr">
        <is>
          <t>Actual output tokens</t>
        </is>
      </c>
      <c r="B13" s="3" t="n">
        <v>39911</v>
      </c>
    </row>
    <row r="14">
      <c r="A14" s="2" t="inlineStr">
        <is>
          <t>Actual reasoning tokens</t>
        </is>
      </c>
      <c r="B14" s="3" t="n">
        <v>2548</v>
      </c>
    </row>
    <row r="15">
      <c r="A15" s="2" t="inlineStr">
        <is>
          <t>SDK AI credits</t>
        </is>
      </c>
      <c r="B15" s="4" t="n">
        <v>83.47985</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4"/>
  <sheetViews>
    <sheetView showGridLines="0" workbookViewId="0">
      <pane ySplit="1" topLeftCell="A2" activePane="bottomLeft" state="frozen"/>
      <selection pane="bottomLeft" activeCell="A1" sqref="A1"/>
    </sheetView>
  </sheetViews>
  <sheetFormatPr baseColWidth="8" defaultRowHeight="15"/>
  <cols>
    <col width="14" customWidth="1" min="1" max="1"/>
    <col width="16" customWidth="1" min="2" max="2"/>
    <col width="22" customWidth="1" min="3" max="3"/>
    <col width="13" customWidth="1" min="4" max="4"/>
    <col width="40" customWidth="1" min="5" max="5"/>
    <col width="60" customWidth="1" min="6" max="6"/>
    <col width="45" customWidth="1" min="7" max="7"/>
    <col width="55" customWidth="1" min="8" max="8"/>
    <col width="50" customWidth="1" min="9" max="9"/>
    <col width="55" customWidth="1" min="10" max="10"/>
    <col width="12" customWidth="1" min="11" max="11"/>
    <col width="60" customWidth="1" min="12" max="12"/>
    <col width="15" customWidth="1" min="13" max="13"/>
  </cols>
  <sheetData>
    <row r="1" ht="28" customHeight="1">
      <c r="A1" s="5" t="inlineStr">
        <is>
          <t>Finding ID</t>
        </is>
      </c>
      <c r="B1" s="5" t="inlineStr">
        <is>
          <t>Scope</t>
        </is>
      </c>
      <c r="C1" s="5" t="inlineStr">
        <is>
          <t>Category</t>
        </is>
      </c>
      <c r="D1" s="5" t="inlineStr">
        <is>
          <t>Severity</t>
        </is>
      </c>
      <c r="E1" s="5" t="inlineStr">
        <is>
          <t>Title</t>
        </is>
      </c>
      <c r="F1" s="5" t="inlineStr">
        <is>
          <t>Finding</t>
        </is>
      </c>
      <c r="G1" s="5" t="inlineStr">
        <is>
          <t>Evidence - Text</t>
        </is>
      </c>
      <c r="H1" s="5" t="inlineStr">
        <is>
          <t>Evidence - Visual</t>
        </is>
      </c>
      <c r="I1" s="5" t="inlineStr">
        <is>
          <t>Impact</t>
        </is>
      </c>
      <c r="J1" s="5" t="inlineStr">
        <is>
          <t>Recommendation</t>
        </is>
      </c>
      <c r="K1" s="5" t="inlineStr">
        <is>
          <t>Confidence</t>
        </is>
      </c>
      <c r="L1" s="5" t="inlineStr">
        <is>
          <t>Section Reference</t>
        </is>
      </c>
      <c r="M1" s="5" t="inlineStr">
        <is>
          <t>Visual Reviewed</t>
        </is>
      </c>
    </row>
    <row r="2">
      <c r="A2" s="6" t="inlineStr">
        <is>
          <t>F-001</t>
        </is>
      </c>
      <c r="B2" s="6" t="inlineStr">
        <is>
          <t>integration</t>
        </is>
      </c>
      <c r="C2" s="6" t="inlineStr">
        <is>
          <t>External Dependency</t>
        </is>
      </c>
      <c r="D2" s="7" t="inlineStr">
        <is>
          <t>Medium</t>
        </is>
      </c>
      <c r="E2" s="6" t="inlineStr">
        <is>
          <t>Integration between Amazon Connect, QuickSight, and Cost &amp; Usage Report undefined</t>
        </is>
      </c>
      <c r="F2" s="6" t="inlineStr">
        <is>
          <t>The summary states QuickSight will be integrated with the Amazon Connect data source and AWS Cost &amp; Usage Report, but no interface, data pipeline, payload, refresh cadence, or ownership of the integration is described.</t>
        </is>
      </c>
      <c r="G2" s="6" t="inlineStr">
        <is>
          <t>The primarily focus for this release to integrate AWS Quick Sight BI reporting tool with Amazon Connect data source &amp; AWS Cost &amp; Usage Report.</t>
        </is>
      </c>
      <c r="H2" s="6" t="inlineStr"/>
      <c r="I2" s="6" t="inlineStr">
        <is>
          <t>Without a defined data flow or interface contract, downstream sections may be inconsistent with this stated scope, and integration error handling cannot be assessed.</t>
        </is>
      </c>
      <c r="J2" s="6" t="inlineStr">
        <is>
          <t>Provide the data source connection method (e.g., S3 export, Connect data lake, Athena), refresh frequency, and access model for QuickSight to Connect/Cost &amp; Usage Report data in subsequent sections.</t>
        </is>
      </c>
      <c r="K2" s="6" t="n">
        <v>0.6</v>
      </c>
      <c r="L2" s="6" t="inlineStr">
        <is>
          <t>https://reqcentral.com/wiki/spaces/FES/pages/1143493583/High+Level+Design+Document+-+Contact+Center+-+BAU+R12.0#HighLevelDesignDocumentContactCenterBAUR12.0-2.6.2DataLifecycleandRetention -&gt; 1.1 Business Solution Summary</t>
        </is>
      </c>
      <c r="M2" s="6" t="inlineStr">
        <is>
          <t>No</t>
        </is>
      </c>
    </row>
    <row r="3">
      <c r="A3" s="6" t="inlineStr">
        <is>
          <t>F-001</t>
        </is>
      </c>
      <c r="B3" s="6" t="inlineStr">
        <is>
          <t>integration</t>
        </is>
      </c>
      <c r="C3" s="6" t="inlineStr">
        <is>
          <t>Interface</t>
        </is>
      </c>
      <c r="D3" s="7" t="inlineStr">
        <is>
          <t>Medium</t>
        </is>
      </c>
      <c r="E3" s="6" t="inlineStr">
        <is>
          <t>No integration mechanism specified for QuickSight/Connect linkage</t>
        </is>
      </c>
      <c r="F3" s="6" t="inlineStr">
        <is>
          <t>R1 states 'Amazon QuickSight and Amazon Connect integration' as a compliant requirement, but no API, data source, dataset refresh method, or connector is described.</t>
        </is>
      </c>
      <c r="G3" s="6" t="inlineStr">
        <is>
          <t>R1 | Amazon Quick Sight and Amazon Connect integration | Yes</t>
        </is>
      </c>
      <c r="H3" s="6" t="inlineStr"/>
      <c r="I3" s="6" t="inlineStr">
        <is>
          <t>Without a defined integration pattern, downstream design/testing teams cannot validate data freshness, connection method, or failure handling for the reporting pipeline.</t>
        </is>
      </c>
      <c r="J3" s="6" t="inlineStr">
        <is>
          <t>Document the specific integration path (e.g., Connect data stream to S3/Athena to QuickSight, direct connector) including refresh cadence and error handling.</t>
        </is>
      </c>
      <c r="K3" s="6" t="n">
        <v>0.7</v>
      </c>
      <c r="L3" s="6" t="inlineStr">
        <is>
          <t>https://reqcentral.com/wiki/spaces/FES/pages/1143493583/High+Level+Design+Document+-+Contact+Center+-+BAU+R12.0#HighLevelDesignDocumentContactCenterBAUR12.0-2.6.2DataLifecycleandRetention -&gt; 1.2 Project Objectives</t>
        </is>
      </c>
      <c r="M3" s="6" t="inlineStr">
        <is>
          <t>No</t>
        </is>
      </c>
    </row>
    <row r="4">
      <c r="A4" s="6" t="inlineStr">
        <is>
          <t>F-002</t>
        </is>
      </c>
      <c r="B4" s="6" t="inlineStr">
        <is>
          <t>integration</t>
        </is>
      </c>
      <c r="C4" s="6" t="inlineStr">
        <is>
          <t>Payload</t>
        </is>
      </c>
      <c r="D4" s="7" t="inlineStr">
        <is>
          <t>Medium</t>
        </is>
      </c>
      <c r="E4" s="6" t="inlineStr">
        <is>
          <t>R2 lacks definition of 'Customer Detail Cost Reporting' data elements</t>
        </is>
      </c>
      <c r="F4" s="6" t="inlineStr">
        <is>
          <t>R2 references 'Customer Detail Cost Reporting' without specifying which customer or cost fields are included, their source, or sensitivity classification.</t>
        </is>
      </c>
      <c r="G4" s="6" t="inlineStr">
        <is>
          <t>R2 | Amazon Connect Customer Detail Cost Reporting in Amazon Quick Sight | Yes</t>
        </is>
      </c>
      <c r="H4" s="6" t="inlineStr"/>
      <c r="I4" s="6" t="inlineStr">
        <is>
          <t>Ambiguous data scope risks under- or over-exposure of customer data in reports and complicates data protection assessment.</t>
        </is>
      </c>
      <c r="J4" s="6" t="inlineStr">
        <is>
          <t>Add a data dictionary or field-level spec for the cost report identifying customer detail attributes to be surfaced.</t>
        </is>
      </c>
      <c r="K4" s="6" t="n">
        <v>0.65</v>
      </c>
      <c r="L4" s="6" t="inlineStr">
        <is>
          <t>https://reqcentral.com/wiki/spaces/FES/pages/1143493583/High+Level+Design+Document+-+Contact+Center+-+BAU+R12.0#HighLevelDesignDocumentContactCenterBAUR12.0-2.6.2DataLifecycleandRetention -&gt; 1.2 Project Objectives</t>
        </is>
      </c>
      <c r="M4" s="6" t="inlineStr">
        <is>
          <t>No</t>
        </is>
      </c>
    </row>
    <row r="5">
      <c r="A5" s="6" t="inlineStr">
        <is>
          <t>F-003</t>
        </is>
      </c>
      <c r="B5" s="6" t="inlineStr">
        <is>
          <t>security</t>
        </is>
      </c>
      <c r="C5" s="6" t="inlineStr">
        <is>
          <t>Data Protection</t>
        </is>
      </c>
      <c r="D5" s="8" t="inlineStr">
        <is>
          <t>High</t>
        </is>
      </c>
      <c r="E5" s="6" t="inlineStr">
        <is>
          <t>No security/access controls defined for customer detail cost reporting</t>
        </is>
      </c>
      <c r="F5" s="6" t="inlineStr">
        <is>
          <t>The requirement to expose 'Customer Detail' data in QuickSight (R2) has no accompanying statement on authentication, authorization, encryption, or PII/data protection controls in this section.</t>
        </is>
      </c>
      <c r="G5" s="6" t="inlineStr">
        <is>
          <t>R2 | Amazon Connect Customer Detail Cost Reporting in Amazon Quick Sight | Yes</t>
        </is>
      </c>
      <c r="H5" s="6" t="inlineStr"/>
      <c r="I5" s="6" t="inlineStr">
        <is>
          <t>Exposing customer-identifiable data in a BI tool without documented access controls could lead to unauthorized data exposure or compliance violations.</t>
        </is>
      </c>
      <c r="J5" s="6" t="inlineStr">
        <is>
          <t>Specify QuickSight row/column-level security, IAM role scoping, and encryption-at-rest/in-transit requirements for customer detail data prior to implementation.</t>
        </is>
      </c>
      <c r="K5" s="6" t="n">
        <v>0.75</v>
      </c>
      <c r="L5" s="6" t="inlineStr">
        <is>
          <t>https://reqcentral.com/wiki/spaces/FES/pages/1143493583/High+Level+Design+Document+-+Contact+Center+-+BAU+R12.0#HighLevelDesignDocumentContactCenterBAUR12.0-2.6.2DataLifecycleandRetention -&gt; 1.2 Project Objectives</t>
        </is>
      </c>
      <c r="M5" s="6" t="inlineStr">
        <is>
          <t>No</t>
        </is>
      </c>
    </row>
    <row r="6">
      <c r="A6" s="6" t="inlineStr">
        <is>
          <t>F-004</t>
        </is>
      </c>
      <c r="B6" s="6" t="inlineStr">
        <is>
          <t>architecture</t>
        </is>
      </c>
      <c r="C6" s="6" t="inlineStr">
        <is>
          <t>Design Consistency</t>
        </is>
      </c>
      <c r="D6" s="9" t="inlineStr">
        <is>
          <t>Low</t>
        </is>
      </c>
      <c r="E6" s="6" t="inlineStr">
        <is>
          <t>Requirement table has empty 'Remarks' column with no justification</t>
        </is>
      </c>
      <c r="F6" s="6" t="inlineStr">
        <is>
          <t>Both R1 and R2 rows leave the 'Remarks' column blank despite the column existing in the table structure, giving no context, owner, or rationale for compliance marking.</t>
        </is>
      </c>
      <c r="G6" s="6" t="inlineStr">
        <is>
          <t>Requirement ID | Description | Compliance | Remarks â€” R1 and R2 rows show no Remarks content</t>
        </is>
      </c>
      <c r="H6" s="6" t="inlineStr"/>
      <c r="I6" s="6" t="inlineStr">
        <is>
          <t>Blank remarks reduce traceability for how 'Yes' compliance was determined, weakening the audit trail for scope agreement.</t>
        </is>
      </c>
      <c r="J6" s="6" t="inlineStr">
        <is>
          <t>Populate Remarks with rationale, owner, or reference design section for each requirement.</t>
        </is>
      </c>
      <c r="K6" s="6" t="n">
        <v>0.6</v>
      </c>
      <c r="L6" s="6" t="inlineStr">
        <is>
          <t>https://reqcentral.com/wiki/spaces/FES/pages/1143493583/High+Level+Design+Document+-+Contact+Center+-+BAU+R12.0#HighLevelDesignDocumentContactCenterBAUR12.0-2.6.2DataLifecycleandRetention -&gt; 1.2 Project Objectives</t>
        </is>
      </c>
      <c r="M6" s="6" t="inlineStr">
        <is>
          <t>No</t>
        </is>
      </c>
    </row>
    <row r="7">
      <c r="A7" s="6" t="inlineStr">
        <is>
          <t>F-001</t>
        </is>
      </c>
      <c r="B7" s="6" t="inlineStr">
        <is>
          <t>architecture</t>
        </is>
      </c>
      <c r="C7" s="6" t="inlineStr">
        <is>
          <t>Data Flow</t>
        </is>
      </c>
      <c r="D7" s="7" t="inlineStr">
        <is>
          <t>Medium</t>
        </is>
      </c>
      <c r="E7" s="6" t="inlineStr">
        <is>
          <t>Two distinct data paths described without integration boundary clarity</t>
        </is>
      </c>
      <c r="F7" s="6" t="inlineStr">
        <is>
          <t>The section describes two separate data flows (Connect data lake with zero-ETL feeding Quick Sight, and a CUR 2.0 export to S3 queried via Athena for Quick Sight) without clarifying whether these are independent, overlapping, or converging pipelines, or how they relate to each other architecturally.</t>
        </is>
      </c>
      <c r="G7" s="6" t="inlineStr">
        <is>
          <t>the amazon connect data lake is single source for all connect data with zero-ETL... The AWS Data export will allow export of CUR 2.0 report to a S3 bucket, which can be visualized using Athena and Amazon Quick Sight.</t>
        </is>
      </c>
      <c r="H7" s="6" t="inlineStr"/>
      <c r="I7" s="6" t="inlineStr">
        <is>
          <t>Ambiguous data flow boundaries can lead to duplicated dashboards, inconsistent BI data sources, or unclear ownership of the two pipelines.</t>
        </is>
      </c>
      <c r="J7" s="6" t="inlineStr">
        <is>
          <t>Add a diagram or explicit statement clarifying whether the Connect data lake and CUR 2.0/S3/Athena path are independent use cases (e.g., operational vs. cost reporting) or integrated, and define the boundary between them.</t>
        </is>
      </c>
      <c r="K7" s="6" t="n">
        <v>0.6</v>
      </c>
      <c r="L7" s="6" t="inlineStr">
        <is>
          <t>https://reqcentral.com/wiki/spaces/FES/pages/1143493583/High+Level+Design+Document+-+Contact+Center+-+BAU+R12.0#HighLevelDesignDocumentContactCenterBAUR12.0-2.6.2DataLifecycleandRetention -&gt; 1.3 Solution Summary</t>
        </is>
      </c>
      <c r="M7" s="6" t="inlineStr">
        <is>
          <t>No</t>
        </is>
      </c>
    </row>
    <row r="8">
      <c r="A8" s="6" t="inlineStr">
        <is>
          <t>F-002</t>
        </is>
      </c>
      <c r="B8" s="6" t="inlineStr">
        <is>
          <t>integration</t>
        </is>
      </c>
      <c r="C8" s="6" t="inlineStr">
        <is>
          <t>External Dependency</t>
        </is>
      </c>
      <c r="D8" s="9" t="inlineStr">
        <is>
          <t>Low</t>
        </is>
      </c>
      <c r="E8" s="6" t="inlineStr">
        <is>
          <t>Undefined term 'CUR 2.0 report' lacks source system context</t>
        </is>
      </c>
      <c r="F8" s="6" t="inlineStr">
        <is>
          <t>The text references 'CUR 2.0 report' export to S3 without defining what CUR refers to (e.g., Cost and Usage Report) or which system/service generates it, and without describing the export schedule, format, or error handling for this integration.</t>
        </is>
      </c>
      <c r="G8" s="6" t="inlineStr">
        <is>
          <t>The AWS Data export will allow export of CUR 2.0 report to a S3 bucket, which can be visualized using Athena and Amazon Quick Sight.</t>
        </is>
      </c>
      <c r="H8" s="6" t="inlineStr"/>
      <c r="I8" s="6" t="inlineStr">
        <is>
          <t>Ambiguity in source system and lack of defined export contract (schedule, schema, failure handling) increases integration risk and complicates downstream Athena query design.</t>
        </is>
      </c>
      <c r="J8" s="6" t="inlineStr">
        <is>
          <t>Define the full name and source of 'CUR 2.0', specify export frequency/format, and document error handling for failed or delayed exports.</t>
        </is>
      </c>
      <c r="K8" s="6" t="n">
        <v>0.55</v>
      </c>
      <c r="L8" s="6" t="inlineStr">
        <is>
          <t>https://reqcentral.com/wiki/spaces/FES/pages/1143493583/High+Level+Design+Document+-+Contact+Center+-+BAU+R12.0#HighLevelDesignDocumentContactCenterBAUR12.0-2.6.2DataLifecycleandRetention -&gt; 1.3 Solution Summary</t>
        </is>
      </c>
      <c r="M8" s="6" t="inlineStr">
        <is>
          <t>No</t>
        </is>
      </c>
    </row>
    <row r="9">
      <c r="A9" s="6" t="inlineStr">
        <is>
          <t>F-003</t>
        </is>
      </c>
      <c r="B9" s="6" t="inlineStr">
        <is>
          <t>security</t>
        </is>
      </c>
      <c r="C9" s="6" t="inlineStr">
        <is>
          <t>Data Protection</t>
        </is>
      </c>
      <c r="D9" s="7" t="inlineStr">
        <is>
          <t>Medium</t>
        </is>
      </c>
      <c r="E9" s="6" t="inlineStr">
        <is>
          <t>No mention of access controls or encryption for Connect data lake / S3 export path</t>
        </is>
      </c>
      <c r="F9" s="6" t="inlineStr">
        <is>
          <t>The section describes a centralized Connect data lake and an S3-based CUR export queried via Athena, but provides no information on access controls, encryption, or data protection measures for either data store, despite this being contact center data potentially containing sensitive information.</t>
        </is>
      </c>
      <c r="G9" s="6" t="inlineStr">
        <is>
          <t>Amazon Connect data lake is centralized repository for data generated by Amazon Connect... The AWS Data export will allow export of CUR 2.0 report to a S3 bucket, which can be visualized using Athena and Amazon Quick Sight.</t>
        </is>
      </c>
      <c r="H9" s="6" t="inlineStr"/>
      <c r="I9" s="6" t="inlineStr">
        <is>
          <t>Absence of stated encryption, IAM, or access control measures for a centralized data repository is a potential security control gap, especially given referenced PCI-related HLD versions in the same document set.</t>
        </is>
      </c>
      <c r="J9" s="6" t="inlineStr">
        <is>
          <t>Document encryption (at rest/in transit), IAM/access control policies, and data classification handling for the Connect data lake and S3 export bucket.</t>
        </is>
      </c>
      <c r="K9" s="6" t="n">
        <v>0.5</v>
      </c>
      <c r="L9" s="6" t="inlineStr">
        <is>
          <t>https://reqcentral.com/wiki/spaces/FES/pages/1143493583/High+Level+Design+Document+-+Contact+Center+-+BAU+R12.0#HighLevelDesignDocumentContactCenterBAUR12.0-2.6.2DataLifecycleandRetention -&gt; 1.3 Solution Summary</t>
        </is>
      </c>
      <c r="M9" s="6" t="inlineStr">
        <is>
          <t>No</t>
        </is>
      </c>
    </row>
    <row r="10">
      <c r="A10" s="6" t="inlineStr">
        <is>
          <t>F-004</t>
        </is>
      </c>
      <c r="B10" s="6" t="inlineStr">
        <is>
          <t>integration</t>
        </is>
      </c>
      <c r="C10" s="6" t="inlineStr">
        <is>
          <t>External Dependency</t>
        </is>
      </c>
      <c r="D10" s="9" t="inlineStr">
        <is>
          <t>Low</t>
        </is>
      </c>
      <c r="E10" s="6" t="inlineStr">
        <is>
          <t>Reference document table contains incomplete/placeholder values</t>
        </is>
      </c>
      <c r="F10" s="6" t="inlineStr">
        <is>
          <t>The reference document table lists 'Cyber STAR' with a date of 'TBD' and does not provide distinct locations/dates for several rows (e.g., 'Use Case' and 'Requirements - All Documents' share the same location entry ambiguously), indicating incomplete traceability metadata for supporting documents.</t>
        </is>
      </c>
      <c r="G10" s="6" t="inlineStr">
        <is>
          <t>Cyber STAR | RTBD | Use Case | Requirements - All Documents</t>
        </is>
      </c>
      <c r="H10" s="6" t="inlineStr"/>
      <c r="I10" s="6" t="inlineStr">
        <is>
          <t>Incomplete or placeholder reference metadata reduces traceability and auditability of the HLD's supporting requirement sources.</t>
        </is>
      </c>
      <c r="J10" s="6" t="inlineStr">
        <is>
          <t>Complete the TBD date/location fields for Cyber STAR and verify each row maps unambiguously to a single document, location, and version date.</t>
        </is>
      </c>
      <c r="K10" s="6" t="n">
        <v>0.45</v>
      </c>
      <c r="L10" s="6" t="inlineStr">
        <is>
          <t>https://reqcentral.com/wiki/spaces/FES/pages/1143493583/High+Level+Design+Document+-+Contact+Center+-+BAU+R12.0#HighLevelDesignDocumentContactCenterBAUR12.0-2.6.2DataLifecycleandRetention -&gt; 1.3 Solution Summary</t>
        </is>
      </c>
      <c r="M10" s="6" t="inlineStr">
        <is>
          <t>No</t>
        </is>
      </c>
    </row>
    <row r="11">
      <c r="A11" s="6" t="inlineStr">
        <is>
          <t>F-001</t>
        </is>
      </c>
      <c r="B11" s="6" t="inlineStr">
        <is>
          <t>architecture</t>
        </is>
      </c>
      <c r="C11" s="6" t="inlineStr">
        <is>
          <t>Design Consistency</t>
        </is>
      </c>
      <c r="D11" s="8" t="inlineStr">
        <is>
          <t>High</t>
        </is>
      </c>
      <c r="E11" s="6" t="inlineStr">
        <is>
          <t>In-scope table lacks description of what changes within 'Yes' rows</t>
        </is>
      </c>
      <c r="F11" s="6" t="inlineStr">
        <is>
          <t>The table marks Amazon Connect, Security &amp; Compliance, and Operation Experience as 'Yes' (in scope) but provides no accompanying description of the specific functional deliverables, components, or changes involved. The section intro states the in-scope statement 'should clearly mention the functional deliverables' but the supplied content only contains a binary Yes/No table with no elaboration.</t>
        </is>
      </c>
      <c r="G11" s="6" t="inlineStr">
        <is>
          <t>"The in-scope statement should clearly mention the functional deliverables that will be delivered as a part of this solution." followed by a table with only Impacted Area / In Scope (Yes/No) columns and no deliverable descriptions.</t>
        </is>
      </c>
      <c r="H11" s="6" t="inlineStr"/>
      <c r="I11" s="6" t="inlineStr">
        <is>
          <t>Without documented deliverables for each in-scope area, downstream architecture, integration, and security reviews cannot verify boundaries, and implementation teams may scope work inconsistently.</t>
        </is>
      </c>
      <c r="J11" s="6" t="inlineStr">
        <is>
          <t>Add a description column or narrative specifying the concrete functional deliverables for each 'Yes' impacted area (Amazon Connect, Security &amp; Compliance, Operation Experience).</t>
        </is>
      </c>
      <c r="K11" s="6" t="n">
        <v>0.8</v>
      </c>
      <c r="L11" s="6" t="inlineStr">
        <is>
          <t>https://reqcentral.com/wiki/spaces/FES/pages/1143493583/High+Level+Design+Document+-+Contact+Center+-+BAU+R12.0#HighLevelDesignDocumentContactCenterBAUR12.0-2.6.2DataLifecycleandRetention -&gt; 1.4.1 In Scope</t>
        </is>
      </c>
      <c r="M11" s="6" t="inlineStr">
        <is>
          <t>No</t>
        </is>
      </c>
    </row>
    <row r="12">
      <c r="A12" s="6" t="inlineStr">
        <is>
          <t>F-002</t>
        </is>
      </c>
      <c r="B12" s="6" t="inlineStr">
        <is>
          <t>security</t>
        </is>
      </c>
      <c r="C12" s="6" t="inlineStr">
        <is>
          <t>Data Protection</t>
        </is>
      </c>
      <c r="D12" s="7" t="inlineStr">
        <is>
          <t>Medium</t>
        </is>
      </c>
      <c r="E12" s="6" t="inlineStr">
        <is>
          <t>Security &amp; Compliance marked in-scope without defined controls</t>
        </is>
      </c>
      <c r="F12" s="6" t="inlineStr">
        <is>
          <t>Security &amp; Compliance is marked 'Yes' (in scope), but no specific security controls, encryption, IAM, authentication, or compliance requirements are described in this section to indicate what security changes are being introduced.</t>
        </is>
      </c>
      <c r="G12" s="6" t="inlineStr">
        <is>
          <t>"Security &amp; Compliance | Yes" with no further detail provided in the table or surrounding text.</t>
        </is>
      </c>
      <c r="H12" s="6" t="inlineStr"/>
      <c r="I12" s="6" t="inlineStr">
        <is>
          <t>Absence of defined security scope creates ambiguity for security architecture and compliance validation, risking incomplete or inconsistent controls implementation.</t>
        </is>
      </c>
      <c r="J12" s="6" t="inlineStr">
        <is>
          <t>Document the specific security and compliance deliverables (e.g., encryption changes, access control updates, regulatory requirements) tied to this in-scope designation.</t>
        </is>
      </c>
      <c r="K12" s="6" t="n">
        <v>0.75</v>
      </c>
      <c r="L12" s="6" t="inlineStr">
        <is>
          <t>https://reqcentral.com/wiki/spaces/FES/pages/1143493583/High+Level+Design+Document+-+Contact+Center+-+BAU+R12.0#HighLevelDesignDocumentContactCenterBAUR12.0-2.6.2DataLifecycleandRetention -&gt; 1.4.1 In Scope</t>
        </is>
      </c>
      <c r="M12" s="6" t="inlineStr">
        <is>
          <t>No</t>
        </is>
      </c>
    </row>
    <row r="13">
      <c r="A13" s="6" t="inlineStr">
        <is>
          <t>F-003</t>
        </is>
      </c>
      <c r="B13" s="6" t="inlineStr">
        <is>
          <t>ivr</t>
        </is>
      </c>
      <c r="C13" s="6" t="inlineStr">
        <is>
          <t>Contact Flow</t>
        </is>
      </c>
      <c r="D13" s="7" t="inlineStr">
        <is>
          <t>Medium</t>
        </is>
      </c>
      <c r="E13" s="6" t="inlineStr">
        <is>
          <t>Amazon Connect in-scope without contact flow detail</t>
        </is>
      </c>
      <c r="F13" s="6" t="inlineStr">
        <is>
          <t>Amazon Connect is marked 'Yes' (in scope) while Customer Experience and Agent Experience are marked 'No Change'. This implies backend/contact flow changes to Amazon Connect without any customer- or agent-facing impact, but no detail is given on what within Amazon Connect is changing (e.g., Lambda integrations, queues, prompts).</t>
        </is>
      </c>
      <c r="G13" s="6" t="inlineStr">
        <is>
          <t>"Amazon Connect | Yes" combined with "Customer Experience | No Change" and "Agent Experience | No Change".</t>
        </is>
      </c>
      <c r="H13" s="6" t="inlineStr"/>
      <c r="I13" s="6" t="inlineStr">
        <is>
          <t>Reviewers cannot assess IVR flow, prompt, queue, or transfer impact without knowing what specifically changes in Amazon Connect, risking undetected caller experience regressions.</t>
        </is>
      </c>
      <c r="J13" s="6" t="inlineStr">
        <is>
          <t>Specify which Amazon Connect components (contact flows, Lambda, Lex, queues) are impacted and confirm why customer/agent experience remains unchanged.</t>
        </is>
      </c>
      <c r="K13" s="6" t="n">
        <v>0.7</v>
      </c>
      <c r="L13" s="6" t="inlineStr">
        <is>
          <t>https://reqcentral.com/wiki/spaces/FES/pages/1143493583/High+Level+Design+Document+-+Contact+Center+-+BAU+R12.0#HighLevelDesignDocumentContactCenterBAUR12.0-2.6.2DataLifecycleandRetention -&gt; 1.4.1 In Scope</t>
        </is>
      </c>
      <c r="M13" s="6" t="inlineStr">
        <is>
          <t>No</t>
        </is>
      </c>
    </row>
    <row r="14">
      <c r="A14" s="6" t="inlineStr">
        <is>
          <t>F-004</t>
        </is>
      </c>
      <c r="B14" s="6" t="inlineStr">
        <is>
          <t>integration</t>
        </is>
      </c>
      <c r="C14" s="6" t="inlineStr">
        <is>
          <t>External Dependency</t>
        </is>
      </c>
      <c r="D14" s="9" t="inlineStr">
        <is>
          <t>Low</t>
        </is>
      </c>
      <c r="E14" s="6" t="inlineStr">
        <is>
          <t>TSYS backend and Middleware marked 'No Change' without validation basis</t>
        </is>
      </c>
      <c r="F14" s="6" t="inlineStr">
        <is>
          <t>TSYS backend and Middleware are both marked 'No Change' despite Amazon Connect and Security &amp; Compliance being in scope. No rationale or dependency analysis is provided to confirm these integration points are genuinely unaffected.</t>
        </is>
      </c>
      <c r="G14" s="6" t="inlineStr">
        <is>
          <t>"TSYS backend | No Change" and "Middleware | No Change" alongside "Amazon Connect | Yes" and "Security &amp; Compliance | Yes".</t>
        </is>
      </c>
      <c r="H14" s="6" t="inlineStr"/>
      <c r="I14" s="6" t="inlineStr">
        <is>
          <t>If Amazon Connect or security changes have downstream effects on middleware/backend integrations, an incorrect 'No Change' assumption could cause integration failures that go untested.</t>
        </is>
      </c>
      <c r="J14" s="6" t="inlineStr">
        <is>
          <t>Provide a brief dependency check confirming TSYS backend and Middleware interfaces are unaffected by the in-scope changes.</t>
        </is>
      </c>
      <c r="K14" s="6" t="n">
        <v>0.55</v>
      </c>
      <c r="L14" s="6" t="inlineStr">
        <is>
          <t>https://reqcentral.com/wiki/spaces/FES/pages/1143493583/High+Level+Design+Document+-+Contact+Center+-+BAU+R12.0#HighLevelDesignDocumentContactCenterBAUR12.0-2.6.2DataLifecycleandRetention -&gt; 1.4.1 In Scope</t>
        </is>
      </c>
      <c r="M14" s="6" t="inlineStr">
        <is>
          <t>No</t>
        </is>
      </c>
    </row>
    <row r="15">
      <c r="A15" s="6" t="inlineStr">
        <is>
          <t>F-001</t>
        </is>
      </c>
      <c r="B15" s="6" t="inlineStr">
        <is>
          <t>integration</t>
        </is>
      </c>
      <c r="C15" s="6" t="inlineStr">
        <is>
          <t>External Dependency</t>
        </is>
      </c>
      <c r="D15" s="7" t="inlineStr">
        <is>
          <t>Medium</t>
        </is>
      </c>
      <c r="E15" s="6" t="inlineStr">
        <is>
          <t>Dashboard integration boundary undefined</t>
        </is>
      </c>
      <c r="F15" s="6" t="inlineStr">
        <is>
          <t>The Out-of-Scope table states dashboard creation is excluded 'once integration is complete', implying an upstream integration/data feed is delivered by this solution, but no interface, payload, or data contract for that integration is described anywhere in this section.</t>
        </is>
      </c>
      <c r="G15" s="6" t="inlineStr">
        <is>
          <t>Dashboard creation. Once integration is complete, Business can build any type of required dashboard as and when required.</t>
        </is>
      </c>
      <c r="H15" s="6" t="inlineStr"/>
      <c r="I15" s="6" t="inlineStr">
        <is>
          <t>Without a defined interface or data contract, downstream teams cannot build dashboards, and integration completeness cannot be validated at delivery.</t>
        </is>
      </c>
      <c r="J15" s="6" t="inlineStr">
        <is>
          <t>Reference or link the specific integration/API/data export component elsewhere in the HLD that Business will use to build dashboards, including data format and refresh cadence.</t>
        </is>
      </c>
      <c r="K15" s="6" t="n">
        <v>0.6</v>
      </c>
      <c r="L15" s="6" t="inlineStr">
        <is>
          <t>https://reqcentral.com/wiki/spaces/FES/pages/1143493583/High+Level+Design+Document+-+Contact+Center+-+BAU+R12.0#HighLevelDesignDocumentContactCenterBAUR12.0-2.6.2DataLifecycleandRetention -&gt; 1.4.2 Out of Scope</t>
        </is>
      </c>
      <c r="M15" s="6" t="inlineStr">
        <is>
          <t>No</t>
        </is>
      </c>
    </row>
    <row r="16">
      <c r="A16" s="6" t="inlineStr">
        <is>
          <t>F-002</t>
        </is>
      </c>
      <c r="B16" s="6" t="inlineStr">
        <is>
          <t>architecture</t>
        </is>
      </c>
      <c r="C16" s="6" t="inlineStr">
        <is>
          <t>Design Consistency</t>
        </is>
      </c>
      <c r="D16" s="9" t="inlineStr">
        <is>
          <t>Low</t>
        </is>
      </c>
      <c r="E16" s="6" t="inlineStr">
        <is>
          <t>Out-of-scope decision lacks traceability</t>
        </is>
      </c>
      <c r="F16" s="6" t="inlineStr">
        <is>
          <t>The exclusion of Generative AI query capability is justified only by reference to 'previous discussion' with no linked decision record, ADR, or meeting reference provided in the evidence.</t>
        </is>
      </c>
      <c r="G16" s="6" t="inlineStr">
        <is>
          <t>Generative AI query is out of scope (as per previous discussion)</t>
        </is>
      </c>
      <c r="H16" s="6" t="inlineStr"/>
      <c r="I16" s="6" t="inlineStr">
        <is>
          <t>Unlinked rationale reduces auditability of scope decisions and creates risk of future scope disputes or rework if the decision is challenged.</t>
        </is>
      </c>
      <c r="J16" s="6" t="inlineStr">
        <is>
          <t>Add a traceable reference (decision log ID, meeting minutes link, or date/owner) to substantiate the scope exclusion.</t>
        </is>
      </c>
      <c r="K16" s="6" t="n">
        <v>0.7</v>
      </c>
      <c r="L16" s="6" t="inlineStr">
        <is>
          <t>https://reqcentral.com/wiki/spaces/FES/pages/1143493583/High+Level+Design+Document+-+Contact+Center+-+BAU+R12.0#HighLevelDesignDocumentContactCenterBAUR12.0-2.6.2DataLifecycleandRetention -&gt; 1.4.2 Out of Scope</t>
        </is>
      </c>
      <c r="M16" s="6" t="inlineStr">
        <is>
          <t>No</t>
        </is>
      </c>
    </row>
    <row r="17">
      <c r="A17" s="6" t="inlineStr">
        <is>
          <t>F-003</t>
        </is>
      </c>
      <c r="B17" s="6" t="inlineStr">
        <is>
          <t>architecture</t>
        </is>
      </c>
      <c r="C17" s="6" t="inlineStr">
        <is>
          <t>Component Boundary</t>
        </is>
      </c>
      <c r="D17" s="10" t="inlineStr">
        <is>
          <t>Informational</t>
        </is>
      </c>
      <c r="E17" s="6" t="inlineStr">
        <is>
          <t>Out-of-scope table lacks scope beyond Operation Experience area</t>
        </is>
      </c>
      <c r="F17" s="6" t="inlineStr">
        <is>
          <t>Both out-of-scope entries are limited to the 'Operation Experience' impacted area only; no out-of-scope statements are provided for Architecture, Integration, IVR/Contact Center, or Security areas, leaving boundaries for those areas undocumented in this section.</t>
        </is>
      </c>
      <c r="G17" s="6" t="inlineStr">
        <is>
          <t>Impacted Area | Out of Scope: Operation Experience (x2 rows only)</t>
        </is>
      </c>
      <c r="H17" s="6" t="inlineStr"/>
      <c r="I17" s="6" t="inlineStr">
        <is>
          <t>Absence of explicit out-of-scope statements for other impacted areas (e.g., Security, IVR) may cause ambiguity about solution boundaries in those domains.</t>
        </is>
      </c>
      <c r="J17" s="6" t="inlineStr">
        <is>
          <t>Confirm whether out-of-scope items exist for other impacted areas (Security, IVR, Integration, Architecture) and document them explicitly, or state 'None' if intentional.</t>
        </is>
      </c>
      <c r="K17" s="6" t="n">
        <v>0.5</v>
      </c>
      <c r="L17" s="6" t="inlineStr">
        <is>
          <t>https://reqcentral.com/wiki/spaces/FES/pages/1143493583/High+Level+Design+Document+-+Contact+Center+-+BAU+R12.0#HighLevelDesignDocumentContactCenterBAUR12.0-2.6.2DataLifecycleandRetention -&gt; 1.4.2 Out of Scope</t>
        </is>
      </c>
      <c r="M17" s="6" t="inlineStr">
        <is>
          <t>No</t>
        </is>
      </c>
    </row>
    <row r="18">
      <c r="A18" s="6" t="inlineStr">
        <is>
          <t>F-001</t>
        </is>
      </c>
      <c r="B18" s="6" t="inlineStr">
        <is>
          <t>architecture</t>
        </is>
      </c>
      <c r="C18" s="6" t="inlineStr">
        <is>
          <t>Data Flow</t>
        </is>
      </c>
      <c r="D18" s="9" t="inlineStr">
        <is>
          <t>Low</t>
        </is>
      </c>
      <c r="E18" s="6" t="inlineStr">
        <is>
          <t>Cross-region replication path lacks detail</t>
        </is>
      </c>
      <c r="F18" s="6" t="inlineStr">
        <is>
          <t>The limitation states S3 replication occurs from us-east-1 to ca-central-1 for cost/performance reasons, but the mechanism (S3 Cross-Region Replication config, replication direction being one-way vs bidirectional, replication lag/consistency guarantees) is not described.</t>
        </is>
      </c>
      <c r="G18" s="6" t="inlineStr">
        <is>
          <t>"For performance and reducing the cost of data transfer, s3 bucket will be replicated from us-east-1 to ca-central-1"</t>
        </is>
      </c>
      <c r="H18" s="6" t="inlineStr"/>
      <c r="I18" s="6" t="inlineStr">
        <is>
          <t>Without replication mechanics defined, downstream consumers cannot assess data freshness, consistency, or failover behavior when reading from the replicated region.</t>
        </is>
      </c>
      <c r="J18" s="6" t="inlineStr">
        <is>
          <t>Document the replication method, direction, trigger conditions, and expected replication lag/RPO.</t>
        </is>
      </c>
      <c r="K18" s="6" t="n">
        <v>0.6</v>
      </c>
      <c r="L18" s="6" t="inlineStr">
        <is>
          <t>https://reqcentral.com/wiki/spaces/FES/pages/1143493583/High+Level+Design+Document+-+Contact+Center+-+BAU+R12.0#HighLevelDesignDocumentContactCenterBAUR12.0-2.6.2DataLifecycleandRetention -&gt; 1.5.3 Limitations</t>
        </is>
      </c>
      <c r="M18" s="6" t="inlineStr">
        <is>
          <t>No</t>
        </is>
      </c>
    </row>
    <row r="19">
      <c r="A19" s="6" t="inlineStr">
        <is>
          <t>F-002</t>
        </is>
      </c>
      <c r="B19" s="6" t="inlineStr">
        <is>
          <t>security</t>
        </is>
      </c>
      <c r="C19" s="6" t="inlineStr">
        <is>
          <t>Data Protection</t>
        </is>
      </c>
      <c r="D19" s="7" t="inlineStr">
        <is>
          <t>Medium</t>
        </is>
      </c>
      <c r="E19" s="6" t="inlineStr">
        <is>
          <t>No encryption/data residency controls stated for cross-region replication</t>
        </is>
      </c>
      <c r="F19" s="6" t="inlineStr">
        <is>
          <t>The limitation describes exporting/replicating data across AWS regions (us-east-1 to ca-central-1) but does not state encryption in transit/at rest, access controls, or data residency/compliance implications of moving data to a different region.</t>
        </is>
      </c>
      <c r="G19" s="6" t="inlineStr">
        <is>
          <t>"Data export is only available in us-east-1" and replication target "ca-central-1"</t>
        </is>
      </c>
      <c r="H19" s="6" t="inlineStr"/>
      <c r="I19" s="6" t="inlineStr">
        <is>
          <t>Cross-region data movement without documented encryption or residency controls is a potential data protection and compliance gap, particularly if data contains PII/PCI-relevant content.</t>
        </is>
      </c>
      <c r="J19" s="6" t="inlineStr">
        <is>
          <t>Confirm and document encryption in transit/at rest for the replication path and any data residency/compliance review for moving data between regions.</t>
        </is>
      </c>
      <c r="K19" s="6" t="n">
        <v>0.55</v>
      </c>
      <c r="L19" s="6" t="inlineStr">
        <is>
          <t>https://reqcentral.com/wiki/spaces/FES/pages/1143493583/High+Level+Design+Document+-+Contact+Center+-+BAU+R12.0#HighLevelDesignDocumentContactCenterBAUR12.0-2.6.2DataLifecycleandRetention -&gt; 1.5.3 Limitations</t>
        </is>
      </c>
      <c r="M19" s="6" t="inlineStr">
        <is>
          <t>No</t>
        </is>
      </c>
    </row>
    <row r="20">
      <c r="A20" s="6" t="inlineStr">
        <is>
          <t>F-003</t>
        </is>
      </c>
      <c r="B20" s="6" t="inlineStr">
        <is>
          <t>integration</t>
        </is>
      </c>
      <c r="C20" s="6" t="inlineStr">
        <is>
          <t>External Dependency</t>
        </is>
      </c>
      <c r="D20" s="9" t="inlineStr">
        <is>
          <t>Low</t>
        </is>
      </c>
      <c r="E20" s="6" t="inlineStr">
        <is>
          <t>Export region restriction not linked to consuming systems' requirements</t>
        </is>
      </c>
      <c r="F20" s="6" t="inlineStr">
        <is>
          <t>The table lists a limitation that data export is only available in us-east-1, with impact rated 'L' (Low), but no evidence is provided on which downstream/external consumers require data export from other regions or why the impact is scored Low.</t>
        </is>
      </c>
      <c r="G20" s="6" t="inlineStr">
        <is>
          <t>"Data export is only available in us-east-1" ... Impact: L</t>
        </is>
      </c>
      <c r="H20" s="6" t="inlineStr"/>
      <c r="I20" s="6" t="inlineStr">
        <is>
          <t>If external integration consumers require regional export outside us-east-1, the stated Low impact rating may understate actual integration risk.</t>
        </is>
      </c>
      <c r="J20" s="6" t="inlineStr">
        <is>
          <t>Validate the Low impact rating against actual consumer/integration requirements for regional data export.</t>
        </is>
      </c>
      <c r="K20" s="6" t="n">
        <v>0.5</v>
      </c>
      <c r="L20" s="6" t="inlineStr">
        <is>
          <t>https://reqcentral.com/wiki/spaces/FES/pages/1143493583/High+Level+Design+Document+-+Contact+Center+-+BAU+R12.0#HighLevelDesignDocumentContactCenterBAUR12.0-2.6.2DataLifecycleandRetention -&gt; 1.5.3 Limitations</t>
        </is>
      </c>
      <c r="M20" s="6" t="inlineStr">
        <is>
          <t>No</t>
        </is>
      </c>
    </row>
    <row r="21">
      <c r="A21" s="6" t="inlineStr">
        <is>
          <t>F-001</t>
        </is>
      </c>
      <c r="B21" s="6" t="inlineStr">
        <is>
          <t>security</t>
        </is>
      </c>
      <c r="C21" s="6" t="inlineStr">
        <is>
          <t>Authorization</t>
        </is>
      </c>
      <c r="D21" s="7" t="inlineStr">
        <is>
          <t>Medium</t>
        </is>
      </c>
      <c r="E21" s="6" t="inlineStr">
        <is>
          <t>No access boundary defined between Vendor and In-house/RB roles for equivalent functions</t>
        </is>
      </c>
      <c r="F21" s="6" t="inlineStr">
        <is>
          <t>The table lists parallel role pairs (e.g., Vendor 'CC Agent CSR' vs RB 'In-house agent-like CSR'; Vendor 'CC Supervisor' vs RB 'In-house CC Supervisor') with identical 'BAU' impact but no distinction in system access, permissions, or entitlement scope between vendor-operated and Rogers Bank-operated actors.</t>
        </is>
      </c>
      <c r="G21" s="6" t="inlineStr">
        <is>
          <t>CC Agent CSR|Vendor|BAU ... In-house agent-like CSR|RB|BAU ... CC Supervisor|Vendor|BAU ... In-house CC Supervisor|RB|BAU</t>
        </is>
      </c>
      <c r="H21" s="6" t="inlineStr"/>
      <c r="I21" s="6" t="inlineStr">
        <is>
          <t>Without differentiated access controls documented, it is unclear whether vendor personnel and internal RB personnel have equivalent or bounded access to the same Amazon Connect/contact center systems, which is a segregation-of-duties and least-privilege concern for a regulated financial institution.</t>
        </is>
      </c>
      <c r="J21" s="6" t="inlineStr">
        <is>
          <t>Document role-based access control (RBAC) boundaries per entity/actor group, clarifying differences in system permissions between Vendor and RB-operated roles performing similar functions.</t>
        </is>
      </c>
      <c r="K21" s="6" t="n">
        <v>0.55</v>
      </c>
      <c r="L21" s="6" t="inlineStr">
        <is>
          <t>https://reqcentral.com/wiki/spaces/FES/pages/1143493583/High+Level+Design+Document+-+Contact+Center+-+BAU+R12.0#HighLevelDesignDocumentContactCenterBAUR12.0-2.6.2DataLifecycleandRetention -&gt; 1.6 Business Processes/Considerations</t>
        </is>
      </c>
      <c r="M21" s="6" t="inlineStr">
        <is>
          <t>No</t>
        </is>
      </c>
    </row>
    <row r="22">
      <c r="A22" s="6" t="inlineStr">
        <is>
          <t>F-002</t>
        </is>
      </c>
      <c r="B22" s="6" t="inlineStr">
        <is>
          <t>security</t>
        </is>
      </c>
      <c r="C22" s="6" t="inlineStr">
        <is>
          <t>IAM</t>
        </is>
      </c>
      <c r="D22" s="7" t="inlineStr">
        <is>
          <t>Medium</t>
        </is>
      </c>
      <c r="E22" s="6" t="inlineStr">
        <is>
          <t>Administrative roles (Amazon Connect Administrator, IT Admin, Technical Support) lack documented access control detail</t>
        </is>
      </c>
      <c r="F22" s="6" t="inlineStr">
        <is>
          <t>High-privilege roles ('Amazon Connect Administrator', 'IT Admin', 'Technical Support') are listed as RB/BAU with no accompanying description of access scope, MFA, or privileged access management controls in this section.</t>
        </is>
      </c>
      <c r="G22" s="6" t="inlineStr">
        <is>
          <t>Amazon Connect Administrator|RB|BAU, Technical Support|RB|BAU, IT Admin|RB|BAU</t>
        </is>
      </c>
      <c r="H22" s="6" t="inlineStr"/>
      <c r="I22" s="6" t="inlineStr">
        <is>
          <t>Undocumented privileged access controls for administrative roles managing the contact center platform increases risk of unauthorized configuration changes or excessive standing privileges.</t>
        </is>
      </c>
      <c r="J22" s="6" t="inlineStr">
        <is>
          <t>Reference or link the privileged access management/IAM policy governing these roles, including MFA and least-privilege enforcement, elsewhere in the HLD or in this section.</t>
        </is>
      </c>
      <c r="K22" s="6" t="n">
        <v>0.5</v>
      </c>
      <c r="L22" s="6" t="inlineStr">
        <is>
          <t>https://reqcentral.com/wiki/spaces/FES/pages/1143493583/High+Level+Design+Document+-+Contact+Center+-+BAU+R12.0#HighLevelDesignDocumentContactCenterBAUR12.0-2.6.2DataLifecycleandRetention -&gt; 1.6 Business Processes/Considerations</t>
        </is>
      </c>
      <c r="M22" s="6" t="inlineStr">
        <is>
          <t>No</t>
        </is>
      </c>
    </row>
    <row r="23">
      <c r="A23" s="6" t="inlineStr">
        <is>
          <t>F-003</t>
        </is>
      </c>
      <c r="B23" s="6" t="inlineStr">
        <is>
          <t>architecture</t>
        </is>
      </c>
      <c r="C23" s="6" t="inlineStr">
        <is>
          <t>Design Consistency</t>
        </is>
      </c>
      <c r="D23" s="9" t="inlineStr">
        <is>
          <t>Low</t>
        </is>
      </c>
      <c r="E23" s="6" t="inlineStr">
        <is>
          <t>Ambiguous/malformed table structure obscures actor-group-impact mapping</t>
        </is>
      </c>
      <c r="F23" s="6" t="inlineStr">
        <is>
          <t>The raw table content is a run-on list of Entity/Actor, Group, and Change/Impact values without clear row delimiters, making some entries ambiguous (e.g., 'Workforce Manager Vendor+Rogers Bank Yes' implies a shared/dual-group role, which is inconsistent with the single-group pattern used for all other rows).</t>
        </is>
      </c>
      <c r="G23" s="6" t="inlineStr">
        <is>
          <t>Workforce ManagerVendor+Rogers BankYes ... Operations ManagerRBYes</t>
        </is>
      </c>
      <c r="H23" s="6" t="inlineStr"/>
      <c r="I23" s="6" t="inlineStr">
        <is>
          <t>An inconsistent or unclear table format increases the risk of misreading role ownership, which affects governance and RACI clarity for the Workforce Manager function.</t>
        </is>
      </c>
      <c r="J23" s="6" t="inlineStr">
        <is>
          <t>Clarify in the source document whether Workforce Manager is a single shared role across Vendor and Rogers Bank or two distinct entries, and standardize table formatting.</t>
        </is>
      </c>
      <c r="K23" s="6" t="n">
        <v>0.5</v>
      </c>
      <c r="L23" s="6" t="inlineStr">
        <is>
          <t>https://reqcentral.com/wiki/spaces/FES/pages/1143493583/High+Level+Design+Document+-+Contact+Center+-+BAU+R12.0#HighLevelDesignDocumentContactCenterBAUR12.0-2.6.2DataLifecycleandRetention -&gt; 1.6 Business Processes/Considerations</t>
        </is>
      </c>
      <c r="M23" s="6" t="inlineStr">
        <is>
          <t>No</t>
        </is>
      </c>
    </row>
    <row r="24">
      <c r="A24" s="6" t="inlineStr">
        <is>
          <t>F-004</t>
        </is>
      </c>
      <c r="B24" s="6" t="inlineStr">
        <is>
          <t>architecture</t>
        </is>
      </c>
      <c r="C24" s="6" t="inlineStr">
        <is>
          <t>Dependency</t>
        </is>
      </c>
      <c r="D24" s="9" t="inlineStr">
        <is>
          <t>Low</t>
        </is>
      </c>
      <c r="E24" s="6" t="inlineStr">
        <is>
          <t>'Yes' impact entries lack description of the actual process/training change</t>
        </is>
      </c>
      <c r="F24" s="6" t="inlineStr">
        <is>
          <t>Two rows (Workforce Manager, Operations Manager) mark impact as 'Yes' instead of 'BAU', but no accompanying text describes what the change or impact actually is, unlike the section's stated purpose to 'record the changes driven by the solution.'</t>
        </is>
      </c>
      <c r="G24" s="6" t="inlineStr">
        <is>
          <t>Workforce ManagerVendor+Rogers BankYes, Operations ManagerRBYes</t>
        </is>
      </c>
      <c r="H24" s="6" t="inlineStr"/>
      <c r="I24" s="6" t="inlineStr">
        <is>
          <t>Without a description of the specific change, downstream readers cannot assess training, communication, or process-redesign needs for these two roles, undermining the section's stated objective.</t>
        </is>
      </c>
      <c r="J24" s="6" t="inlineStr">
        <is>
          <t>Add explicit descriptions of the process/training/communication change for Workforce Manager and Operations Manager rows.</t>
        </is>
      </c>
      <c r="K24" s="6" t="n">
        <v>0.6</v>
      </c>
      <c r="L24" s="6" t="inlineStr">
        <is>
          <t>https://reqcentral.com/wiki/spaces/FES/pages/1143493583/High+Level+Design+Document+-+Contact+Center+-+BAU+R12.0#HighLevelDesignDocumentContactCenterBAUR12.0-2.6.2DataLifecycleandRetention -&gt; 1.6 Business Processes/Considerations</t>
        </is>
      </c>
      <c r="M24" s="6" t="inlineStr">
        <is>
          <t>No</t>
        </is>
      </c>
    </row>
    <row r="25">
      <c r="A25" s="6" t="inlineStr">
        <is>
          <t>F-001</t>
        </is>
      </c>
      <c r="B25" s="6" t="inlineStr">
        <is>
          <t>architecture</t>
        </is>
      </c>
      <c r="C25" s="6" t="inlineStr">
        <is>
          <t>Design Consistency</t>
        </is>
      </c>
      <c r="D25" s="8" t="inlineStr">
        <is>
          <t>High</t>
        </is>
      </c>
      <c r="E25" s="6" t="inlineStr">
        <is>
          <t>Deployment approach section is a placeholder with no actual content</t>
        </is>
      </c>
      <c r="F25" s="6" t="inlineStr">
        <is>
          <t>The section retains the template instruction text '&lt;&lt;Describe how you are going to deploy and test the solution&gt;&gt;' and provides no narrative describing deployment strategy, environments, sequencing, rollback plan, or topology.</t>
        </is>
      </c>
      <c r="G25" s="6" t="inlineStr">
        <is>
          <t>1.7 Deployment Approach&lt;&lt;Describe how you are going to deploy and test the solution&gt;&gt;</t>
        </is>
      </c>
      <c r="H25" s="6" t="inlineStr"/>
      <c r="I25" s="6" t="inlineStr">
        <is>
          <t>Without a documented deployment approach, reviewers and implementation teams cannot assess deployment risk, environment promotion strategy, or rollback readiness for the contact center solution.</t>
        </is>
      </c>
      <c r="J25" s="6" t="inlineStr">
        <is>
          <t>Author must replace the placeholder with a concrete deployment approach narrative covering environments, sequencing, and rollback strategy before this section can be considered complete.</t>
        </is>
      </c>
      <c r="K25" s="6" t="n">
        <v>0.95</v>
      </c>
      <c r="L25" s="6" t="inlineStr">
        <is>
          <t>https://reqcentral.com/wiki/spaces/FES/pages/1143493583/High+Level+Design+Document+-+Contact+Center+-+BAU+R12.0#HighLevelDesignDocumentContactCenterBAUR12.0-2.6.2DataLifecycleandRetention -&gt; 1.7 Deployment Approach</t>
        </is>
      </c>
      <c r="M25" s="6" t="inlineStr">
        <is>
          <t>No</t>
        </is>
      </c>
    </row>
    <row r="26">
      <c r="A26" s="6" t="inlineStr">
        <is>
          <t>F-002</t>
        </is>
      </c>
      <c r="B26" s="6" t="inlineStr">
        <is>
          <t>architecture</t>
        </is>
      </c>
      <c r="C26" s="6" t="inlineStr">
        <is>
          <t>Design Consistency</t>
        </is>
      </c>
      <c r="D26" s="7" t="inlineStr">
        <is>
          <t>Medium</t>
        </is>
      </c>
      <c r="E26" s="6" t="inlineStr">
        <is>
          <t>Deployment table has only a single incomplete row with no component detail</t>
        </is>
      </c>
      <c r="F26" s="6" t="inlineStr">
        <is>
          <t>The deployment table header lists 'Components included' as a column, but the only data row ('Drop 1', Y, N, N) leaves this field blank, so no components are actually mapped to the drop.</t>
        </is>
      </c>
      <c r="G26" s="6" t="inlineStr">
        <is>
          <t>Phase/Single Drop | Components included | PVT (Y/N) | PET | BRT (Y/N) -- Drop 1 | | Y | N | N</t>
        </is>
      </c>
      <c r="H26" s="6" t="inlineStr"/>
      <c r="I26" s="6" t="inlineStr">
        <is>
          <t>Without component-to-drop mapping, it is not possible to validate scope, sequencing, or dependency risk for the release, and testing sign-off (PVT/PET/BRT) cannot be traced to specific components.</t>
        </is>
      </c>
      <c r="J26" s="6" t="inlineStr">
        <is>
          <t>Populate the 'Components included' column for each drop row with the specific architecture/integration/IVR components being deployed.</t>
        </is>
      </c>
      <c r="K26" s="6" t="n">
        <v>0.9</v>
      </c>
      <c r="L26" s="6" t="inlineStr">
        <is>
          <t>https://reqcentral.com/wiki/spaces/FES/pages/1143493583/High+Level+Design+Document+-+Contact+Center+-+BAU+R12.0#HighLevelDesignDocumentContactCenterBAUR12.0-2.6.2DataLifecycleandRetention -&gt; 1.7 Deployment Approach</t>
        </is>
      </c>
      <c r="M26" s="6" t="inlineStr">
        <is>
          <t>No</t>
        </is>
      </c>
    </row>
    <row r="27">
      <c r="A27" s="6" t="inlineStr">
        <is>
          <t>F-003</t>
        </is>
      </c>
      <c r="B27" s="6" t="inlineStr">
        <is>
          <t>integration</t>
        </is>
      </c>
      <c r="C27" s="6" t="inlineStr">
        <is>
          <t>Integration Error Handling</t>
        </is>
      </c>
      <c r="D27" s="7" t="inlineStr">
        <is>
          <t>Medium</t>
        </is>
      </c>
      <c r="E27" s="6" t="inlineStr">
        <is>
          <t>No integration test coverage indicated for Drop 1</t>
        </is>
      </c>
      <c r="F27" s="6" t="inlineStr">
        <is>
          <t>The table marks PET (assumed Performance/Environment Test) and BRT (Business Readiness/Regression Test) as 'N' for Drop 1, with no accompanying justification or alternate validation plan for integrations.</t>
        </is>
      </c>
      <c r="G27" s="6" t="inlineStr">
        <is>
          <t>Drop 1 Y N N (PVT=Y, PET=N, BRT=N)</t>
        </is>
      </c>
      <c r="H27" s="6" t="inlineStr"/>
      <c r="I27" s="6" t="inlineStr">
        <is>
          <t>Absence of PET/BRT for a drop that likely includes integration touchpoints (APIs, Lambda, external dependencies) increases risk of undetected integration defects reaching production.</t>
        </is>
      </c>
      <c r="J27" s="6" t="inlineStr">
        <is>
          <t>Document rationale for skipping PET/BRT for Drop 1, or confirm equivalent integration validation is performed elsewhere.</t>
        </is>
      </c>
      <c r="K27" s="6" t="n">
        <v>0.6</v>
      </c>
      <c r="L27" s="6" t="inlineStr">
        <is>
          <t>https://reqcentral.com/wiki/spaces/FES/pages/1143493583/High+Level+Design+Document+-+Contact+Center+-+BAU+R12.0#HighLevelDesignDocumentContactCenterBAUR12.0-2.6.2DataLifecycleandRetention -&gt; 1.7 Deployment Approach</t>
        </is>
      </c>
      <c r="M27" s="6" t="inlineStr">
        <is>
          <t>No</t>
        </is>
      </c>
    </row>
    <row r="28">
      <c r="A28" s="6" t="inlineStr">
        <is>
          <t>F-004</t>
        </is>
      </c>
      <c r="B28" s="6" t="inlineStr">
        <is>
          <t>security</t>
        </is>
      </c>
      <c r="C28" s="6" t="inlineStr">
        <is>
          <t>Data Protection</t>
        </is>
      </c>
      <c r="D28" s="9" t="inlineStr">
        <is>
          <t>Low</t>
        </is>
      </c>
      <c r="E28" s="6" t="inlineStr">
        <is>
          <t>No security/data-sensitive validation gate identified for deployment drop</t>
        </is>
      </c>
      <c r="F28" s="6" t="inlineStr">
        <is>
          <t>The deployment table's only test gates (PVT/PET/BRT) do not reference any security validation, and no component list is present to determine whether Drop 1 touches sensitive data or access controls.</t>
        </is>
      </c>
      <c r="G28" s="6" t="inlineStr">
        <is>
          <t>Phase/Single Drop | Components included | PVT (Y/N) | PET | BRT (Y/N) -- Drop 1 | | Y | N | N</t>
        </is>
      </c>
      <c r="H28" s="6" t="inlineStr"/>
      <c r="I28" s="6" t="inlineStr">
        <is>
          <t>Cannot confirm whether security-relevant components (authN/authZ, encryption, IAM) are included in this drop or whether they underwent appropriate testing.</t>
        </is>
      </c>
      <c r="J28" s="6" t="inlineStr">
        <is>
          <t>Add explicit security/compliance validation checkpoints to the deployment table when security-relevant components are in scope.</t>
        </is>
      </c>
      <c r="K28" s="6" t="n">
        <v>0.5</v>
      </c>
      <c r="L28" s="6" t="inlineStr">
        <is>
          <t>https://reqcentral.com/wiki/spaces/FES/pages/1143493583/High+Level+Design+Document+-+Contact+Center+-+BAU+R12.0#HighLevelDesignDocumentContactCenterBAUR12.0-2.6.2DataLifecycleandRetention -&gt; 1.7 Deployment Approach</t>
        </is>
      </c>
      <c r="M28" s="6" t="inlineStr">
        <is>
          <t>No</t>
        </is>
      </c>
    </row>
    <row r="29">
      <c r="A29" s="6" t="inlineStr">
        <is>
          <t>F-001</t>
        </is>
      </c>
      <c r="B29" s="6" t="inlineStr">
        <is>
          <t>architecture</t>
        </is>
      </c>
      <c r="C29" s="6" t="inlineStr">
        <is>
          <t>Component Boundary</t>
        </is>
      </c>
      <c r="D29" s="8" t="inlineStr">
        <is>
          <t>High</t>
        </is>
      </c>
      <c r="E29" s="6" t="inlineStr">
        <is>
          <t>Ambiguous trust boundary between CDE AWS Account and Rogers Bank Default AWS Account</t>
        </is>
      </c>
      <c r="F29" s="6" t="inlineStr">
        <is>
          <t>The CDE AWS Account boundary box (red outline) visually overlaps and clips the top portion of Amazon Connect, Lex, and Verification Lambda, while Amazon Connect's main body sits inside the Rogers Bank Default AWS Account (orange outline). The diagram does not clearly indicate whether Amazon Connect, Lex, and the Verification Lambda are logically hosted inside the PCI CDE account or the default account.</t>
        </is>
      </c>
      <c r="G29" s="6" t="inlineStr">
        <is>
          <t>CDE AWS Account ... CDE VPC ... Rogers Bank Default AWS Account</t>
        </is>
      </c>
      <c r="H29" s="6" t="inlineStr">
        <is>
          <t>The red CDE AWS Account box overlaps the top edge of the Amazon Connect icon and fully encloses Lex and Verification Lambda, but Amazon Connect's body and all its outbound connectors are drawn within the orange Rogers Bank Default AWS Account boundary.</t>
        </is>
      </c>
      <c r="I29" s="6" t="inlineStr">
        <is>
          <t>If PCI-scoped components (Lex, Verification Lambda handling PAN/DOB/OTC/Phone) are actually shared with or reachable from a non-CDE account, this could create unclear PCI DSS scope boundaries and audit ambiguity.</t>
        </is>
      </c>
      <c r="J29" s="6" t="inlineStr">
        <is>
          <t>Clarify and redraw account/VPC boundaries so each component is unambiguously assigned to one AWS account, and confirm PCI CDE scope explicitly includes or excludes Lex/Verification Lambda.</t>
        </is>
      </c>
      <c r="K29" s="6" t="n">
        <v>0.75</v>
      </c>
      <c r="L29" s="6" t="inlineStr">
        <is>
          <t>RBConnect Context Diagram</t>
        </is>
      </c>
      <c r="M29" s="6" t="inlineStr">
        <is>
          <t>Yes</t>
        </is>
      </c>
    </row>
    <row r="30">
      <c r="A30" s="6" t="inlineStr">
        <is>
          <t>F-002</t>
        </is>
      </c>
      <c r="B30" s="6" t="inlineStr">
        <is>
          <t>architecture</t>
        </is>
      </c>
      <c r="C30" s="6" t="inlineStr">
        <is>
          <t>Single Point of Failure</t>
        </is>
      </c>
      <c r="D30" s="7" t="inlineStr">
        <is>
          <t>Medium</t>
        </is>
      </c>
      <c r="E30" s="6" t="inlineStr">
        <is>
          <t>Amazon Connect shown as sole hub for all call flows with no redundancy</t>
        </is>
      </c>
      <c r="F30" s="6" t="inlineStr">
        <is>
          <t>All customer, agent, PCI, non-PCI, TSYS interaction, and utility function paths converge through the single Amazon Connect component. No secondary/failover instance, region, or resiliency mechanism is depicted.</t>
        </is>
      </c>
      <c r="G30" s="6" t="inlineStr">
        <is>
          <t>Amazon Connect</t>
        </is>
      </c>
      <c r="H30" s="6" t="inlineStr">
        <is>
          <t>Every arrow from Customer, CSR, Ops Mgr, PCI use cases, Non-PCI use cases, Create TSYS Interaction, HIYA Call branding, and Utility functions routes through the single Amazon Connect icon.</t>
        </is>
      </c>
      <c r="I30" s="6" t="inlineStr">
        <is>
          <t>Loss or degradation of the Amazon Connect instance would halt all IVR, agent, and PCI verification workflows simultaneously.</t>
        </is>
      </c>
      <c r="J30" s="6" t="inlineStr">
        <is>
          <t>Document Amazon Connect's resiliency/failover design (multi-region, instance replication) in this or a linked HLD, or confirm it is out of scope for this diagram.</t>
        </is>
      </c>
      <c r="K30" s="6" t="n">
        <v>0.6</v>
      </c>
      <c r="L30" s="6" t="inlineStr">
        <is>
          <t>RBConnect Context Diagram</t>
        </is>
      </c>
      <c r="M30" s="6" t="inlineStr">
        <is>
          <t>Yes</t>
        </is>
      </c>
    </row>
    <row r="31">
      <c r="A31" s="6" t="inlineStr">
        <is>
          <t>F-003</t>
        </is>
      </c>
      <c r="B31" s="6" t="inlineStr">
        <is>
          <t>integration</t>
        </is>
      </c>
      <c r="C31" s="6" t="inlineStr">
        <is>
          <t>Data Flow</t>
        </is>
      </c>
      <c r="D31" s="7" t="inlineStr">
        <is>
          <t>Medium</t>
        </is>
      </c>
      <c r="E31" s="6" t="inlineStr">
        <is>
          <t>PCI use case 4 (GetAccountByANI) does not route through CDE VPC unlike use cases 1â€“3</t>
        </is>
      </c>
      <c r="F31" s="6" t="inlineStr">
        <is>
          <t>PCI use cases 1â€“3 (GetAccountByCard, Set/Update PIN, Verify PIN) are shown flowing through the CDE VPC box before reaching TSYS. PCI use case 4 (GetAccountByANI) is drawn in a separate box outside/adjacent to the CDE VPC with no visible connector into the CDE VPC, instead appearing to route via 'Create TSYS Interaction' directly to TSYS.</t>
        </is>
      </c>
      <c r="G31" s="6" t="inlineStr">
        <is>
          <t>PCI use cases: 1. GetAccountByCard 2. Set/Update PIN 3. Verify PIN ... PCI use cases: 4. GetAccountByANI ... Create TSYS Interaction</t>
        </is>
      </c>
      <c r="H31" s="6" t="inlineStr">
        <is>
          <t>The 'PCI use cases: 4. GetAccountByANI' box sits below the CDE VPC box without a drawn arrow connecting it to the CDE VPC, while use cases 1-3's box has arrows into the CDE VPC.</t>
        </is>
      </c>
      <c r="I31" s="6" t="inlineStr">
        <is>
          <t>Inconsistent routing for a use case explicitly labeled PCI could indicate incomplete PCI scope enforcement or a diagramming omission that misrepresents actual data flow controls.</t>
        </is>
      </c>
      <c r="J31" s="6" t="inlineStr">
        <is>
          <t>Confirm whether GetAccountByANI traffic passes through the CDE VPC boundary; correct the diagram or the underlying flow to ensure consistent PCI-scoped routing.</t>
        </is>
      </c>
      <c r="K31" s="6" t="n">
        <v>0.65</v>
      </c>
      <c r="L31" s="6" t="inlineStr">
        <is>
          <t>RBConnect Context Diagram</t>
        </is>
      </c>
      <c r="M31" s="6" t="inlineStr">
        <is>
          <t>Yes</t>
        </is>
      </c>
    </row>
    <row r="32">
      <c r="A32" s="6" t="inlineStr">
        <is>
          <t>F-004</t>
        </is>
      </c>
      <c r="B32" s="6" t="inlineStr">
        <is>
          <t>security</t>
        </is>
      </c>
      <c r="C32" s="6" t="inlineStr">
        <is>
          <t>Network Security</t>
        </is>
      </c>
      <c r="D32" s="7" t="inlineStr">
        <is>
          <t>Medium</t>
        </is>
      </c>
      <c r="E32" s="6" t="inlineStr">
        <is>
          <t>Reporting/analytics egress path bypasses firewall components used by other external flows</t>
        </is>
      </c>
      <c r="F32" s="6" t="inlineStr">
        <is>
          <t>The green 'New' data path (Other-sources -&gt; Datalake -&gt; Athena -&gt; QuickSight -&gt; RB Ops Mgr) exits the Rogers Bank Default AWS Account directly to RB Ops Mgr without passing through RCI Egress + Firewall or RCI MPLS Switch &amp; Firewall, which are shown mediating other external/vendor connections (TSYS, CNX/GS, Dynatrace, HIYA).</t>
        </is>
      </c>
      <c r="G32" s="6" t="inlineStr">
        <is>
          <t>RCI Egress + Firewall ... RCI MPLS Switch &amp; Firewall ... Datalake Athena QuickSight</t>
        </is>
      </c>
      <c r="H32" s="6" t="inlineStr">
        <is>
          <t>The green line from QuickSight terminates directly at the RB Ops Mgr actor icon on the far right, with no firewall icon on that path, unlike the black lines to TSYS/CNX/HIYA which pass through the firewall/egress boxes.</t>
        </is>
      </c>
      <c r="I32" s="6" t="inlineStr">
        <is>
          <t>An unfiltered egress path for analytics/reporting data could bypass network security controls applied elsewhere, increasing risk of uncontrolled data exfiltration.</t>
        </is>
      </c>
      <c r="J32" s="6" t="inlineStr">
        <is>
          <t>Verify whether the QuickSight-to-Ops Mgr path is intentionally exempt from the egress firewall, and document the compensating control if so.</t>
        </is>
      </c>
      <c r="K32" s="6" t="n">
        <v>0.6</v>
      </c>
      <c r="L32" s="6" t="inlineStr">
        <is>
          <t>RBConnect Context Diagram</t>
        </is>
      </c>
      <c r="M32" s="6" t="inlineStr">
        <is>
          <t>Yes</t>
        </is>
      </c>
    </row>
    <row r="33">
      <c r="A33" s="6" t="inlineStr">
        <is>
          <t>F-005</t>
        </is>
      </c>
      <c r="B33" s="6" t="inlineStr">
        <is>
          <t>security</t>
        </is>
      </c>
      <c r="C33" s="6" t="inlineStr">
        <is>
          <t>IAM</t>
        </is>
      </c>
      <c r="D33" s="7" t="inlineStr">
        <is>
          <t>Medium</t>
        </is>
      </c>
      <c r="E33" s="6" t="inlineStr">
        <is>
          <t>Direct IT Admin/Developer control-plane access into CDE account without visible privileged access controls</t>
        </is>
      </c>
      <c r="F33" s="6" t="inlineStr">
        <is>
          <t>Both the top and bottom of the diagram show 'IT Admins, Developers' accessing 'AWS Console' -&gt; 'AWS Control plane' directly into the CDE AWS Account / Rogers Bank Default AWS Account, with no depicted MFA, bastion, PAM, or approval gate.</t>
        </is>
      </c>
      <c r="G33" s="6" t="inlineStr">
        <is>
          <t>IT Admins, Developers AWS Console AWS Control plane</t>
        </is>
      </c>
      <c r="H33" s="6" t="inlineStr">
        <is>
          <t>Two identical actor-to-console-to-control-plane chains are shown entering the CDE AWS Account (top) and Rogers Bank Default AWS Account (bottom) with plain arrows and no additional security control icons.</t>
        </is>
      </c>
      <c r="I33" s="6" t="inlineStr">
        <is>
          <t>Undocumented privileged access paths into a PCI-scoped account increase risk of unauthorized or unmonitored administrative changes to CDE resources.</t>
        </is>
      </c>
      <c r="J33" s="6" t="inlineStr">
        <is>
          <t>Document the privileged access management controls (MFA, just-in-time access, session recording) governing IT Admin/Developer console access into the CDE account, even if handled outside this diagram.</t>
        </is>
      </c>
      <c r="K33" s="6" t="n">
        <v>0.55</v>
      </c>
      <c r="L33" s="6" t="inlineStr">
        <is>
          <t>RBConnect Context Diagram</t>
        </is>
      </c>
      <c r="M33" s="6" t="inlineStr">
        <is>
          <t>Yes</t>
        </is>
      </c>
    </row>
    <row r="34">
      <c r="A34" s="6" t="inlineStr">
        <is>
          <t>F-006</t>
        </is>
      </c>
      <c r="B34" s="6" t="inlineStr">
        <is>
          <t>ivr</t>
        </is>
      </c>
      <c r="C34" s="6" t="inlineStr">
        <is>
          <t>Lambda</t>
        </is>
      </c>
      <c r="D34" s="9" t="inlineStr">
        <is>
          <t>Low</t>
        </is>
      </c>
      <c r="E34" s="6" t="inlineStr">
        <is>
          <t>PAN-handling Verification Lambda boundary placement is ambiguous relative to CDE scope</t>
        </is>
      </c>
      <c r="F34" s="6" t="inlineStr">
        <is>
          <t>The 'Verification Lambda (Dob, OTC, Phone, PAN)' box, which explicitly processes PAN (cardholder data), is drawn partially straddling the CDE AWS Account boundary line rather than clearly fully inside it.</t>
        </is>
      </c>
      <c r="G34" s="6" t="inlineStr">
        <is>
          <t>Verification Lambda (Dob, OTC, Phone, PAN)</t>
        </is>
      </c>
      <c r="H34" s="6" t="inlineStr">
        <is>
          <t>The Verification Lambda box top edge appears to sit just above/at the CDE AWS Account red boundary line, similar to the Lex box, rather than clearly nested within the CDE VPC subgraph where the labeled PCI use cases reside.</t>
        </is>
      </c>
      <c r="I34" s="6" t="inlineStr">
        <is>
          <t>A PAN-processing function placed ambiguously relative to the CDE boundary could complicate PCI DSS scope determination for this Lambda.</t>
        </is>
      </c>
      <c r="J34" s="6" t="inlineStr">
        <is>
          <t>Explicitly place the Verification Lambda inside (or clearly outside, with justification) the CDE VPC/account boundary in the diagram to remove ambiguity about PCI scope.</t>
        </is>
      </c>
      <c r="K34" s="6" t="n">
        <v>0.55</v>
      </c>
      <c r="L34" s="6" t="inlineStr">
        <is>
          <t>RBConnect Context Diagram</t>
        </is>
      </c>
      <c r="M34" s="6" t="inlineStr">
        <is>
          <t>Yes</t>
        </is>
      </c>
    </row>
    <row r="35">
      <c r="A35" s="6" t="inlineStr">
        <is>
          <t>F-001</t>
        </is>
      </c>
      <c r="B35" s="6" t="inlineStr">
        <is>
          <t>architecture</t>
        </is>
      </c>
      <c r="C35" s="6" t="inlineStr">
        <is>
          <t>Design Consistency</t>
        </is>
      </c>
      <c r="D35" s="7" t="inlineStr">
        <is>
          <t>Medium</t>
        </is>
      </c>
      <c r="E35" s="6" t="inlineStr">
        <is>
          <t>Application Inventory table malformed/unparseable</t>
        </is>
      </c>
      <c r="F35" s="6" t="inlineStr">
        <is>
          <t>The table header row (App ID, App Name, New/Modified, Notes, App Classification) and the single data row are run together without clear delimiters, and the data row appears to contain concatenated/misaligned values (e.g., 'RBCONNECT' and 'Amazon Quick Sight Integration' appear merged into what should be separate App Name/Notes cells).</t>
        </is>
      </c>
      <c r="G35" s="6" t="inlineStr">
        <is>
          <t>App IDApp NameNew/Modified (N/M)NotesApp Classification1991RBCONNECTMAmazon Quick Sight  IntegrationImportant</t>
        </is>
      </c>
      <c r="H35" s="6" t="inlineStr"/>
      <c r="I35" s="6" t="inlineStr">
        <is>
          <t>A malformed inventory table makes it impossible to reliably confirm which applications are in scope, their classification, and modification status â€” undermining traceability required for HLD approval per the section's own instruction.</t>
        </is>
      </c>
      <c r="J35" s="6" t="inlineStr">
        <is>
          <t>Reformat the table with clear cell boundaries (e.g., markdown table or pipe-delimited) and verify each App ID maps to exactly one App Name, N/M flag, Notes, and Classification.</t>
        </is>
      </c>
      <c r="K35" s="6" t="n">
        <v>0.75</v>
      </c>
      <c r="L35" s="6" t="inlineStr">
        <is>
          <t>https://reqcentral.com/wiki/spaces/FES/pages/1143493583/High+Level+Design+Document+-+Contact+Center+-+BAU+R12.0#HighLevelDesignDocumentContactCenterBAUR12.0-2.6.2DataLifecycleandRetention -&gt; 2.1.1 In-Scope Applications</t>
        </is>
      </c>
      <c r="M35" s="6" t="inlineStr">
        <is>
          <t>No</t>
        </is>
      </c>
    </row>
    <row r="36">
      <c r="A36" s="6" t="inlineStr">
        <is>
          <t>F-002</t>
        </is>
      </c>
      <c r="B36" s="6" t="inlineStr">
        <is>
          <t>architecture</t>
        </is>
      </c>
      <c r="C36" s="6" t="inlineStr">
        <is>
          <t>Component Boundary</t>
        </is>
      </c>
      <c r="D36" s="7" t="inlineStr">
        <is>
          <t>Medium</t>
        </is>
      </c>
      <c r="E36" s="6" t="inlineStr">
        <is>
          <t>Only one application listed despite multi-component IVR/Contact Center scope</t>
        </is>
      </c>
      <c r="F36" s="6" t="inlineStr">
        <is>
          <t>Only a single application entry (App ID 1991, RBCONNECT) is recorded in the In-Scope Applications table, with 'Amazon Quick Sight Integration' appearing as a Notes/qualifier rather than a distinct inventoried application.</t>
        </is>
      </c>
      <c r="G36" s="6" t="inlineStr">
        <is>
          <t>1991RBCONNECTMAmazon Quick Sight  IntegrationImportant</t>
        </is>
      </c>
      <c r="H36" s="6" t="inlineStr"/>
      <c r="I36" s="6" t="inlineStr">
        <is>
          <t>If Amazon QuickSight is a separate integrated system (as implied by the Notes text), omitting it as its own inventoried application entry could violate the section's stated approval gate that 'any impacted application, new or existing, is not correctly recorded in the Application Inventory.'</t>
        </is>
      </c>
      <c r="J36" s="6" t="inlineStr">
        <is>
          <t>Clarify whether Amazon QuickSight is a distinct in-scope application requiring its own App ID/row, or confirm it is solely a feature/note under RBCONNECT.</t>
        </is>
      </c>
      <c r="K36" s="6" t="n">
        <v>0.6</v>
      </c>
      <c r="L36" s="6" t="inlineStr">
        <is>
          <t>https://reqcentral.com/wiki/spaces/FES/pages/1143493583/High+Level+Design+Document+-+Contact+Center+-+BAU+R12.0#HighLevelDesignDocumentContactCenterBAUR12.0-2.6.2DataLifecycleandRetention -&gt; 2.1.1 In-Scope Applications</t>
        </is>
      </c>
      <c r="M36" s="6" t="inlineStr">
        <is>
          <t>No</t>
        </is>
      </c>
    </row>
    <row r="37">
      <c r="A37" s="6" t="inlineStr">
        <is>
          <t>F-003</t>
        </is>
      </c>
      <c r="B37" s="6" t="inlineStr">
        <is>
          <t>integration</t>
        </is>
      </c>
      <c r="C37" s="6" t="inlineStr">
        <is>
          <t>External Dependency</t>
        </is>
      </c>
      <c r="D37" s="9" t="inlineStr">
        <is>
          <t>Low</t>
        </is>
      </c>
      <c r="E37" s="6" t="inlineStr">
        <is>
          <t>Amazon QuickSight integration lacks interface/contract detail</t>
        </is>
      </c>
      <c r="F37" s="6" t="inlineStr">
        <is>
          <t>The Notes field references 'Amazon Quick Sight Integration' but no interface details, API/data contract, authentication method, or data flow direction between RBCONNECT and QuickSight are provided in this section.</t>
        </is>
      </c>
      <c r="G37" s="6" t="inlineStr">
        <is>
          <t>Amazon Quick Sight  Integration</t>
        </is>
      </c>
      <c r="H37" s="6" t="inlineStr"/>
      <c r="I37" s="6" t="inlineStr">
        <is>
          <t>Without integration detail, reviewers cannot assess payload contracts, error handling, or dependency risk for the QuickSight interface.</t>
        </is>
      </c>
      <c r="J37" s="6" t="inlineStr">
        <is>
          <t>Add integration specifics (API/data feed mechanism, direction, authentication) either in this section or reference the section where it is detailed.</t>
        </is>
      </c>
      <c r="K37" s="6" t="n">
        <v>0.55</v>
      </c>
      <c r="L37" s="6" t="inlineStr">
        <is>
          <t>https://reqcentral.com/wiki/spaces/FES/pages/1143493583/High+Level+Design+Document+-+Contact+Center+-+BAU+R12.0#HighLevelDesignDocumentContactCenterBAUR12.0-2.6.2DataLifecycleandRetention -&gt; 2.1.1 In-Scope Applications</t>
        </is>
      </c>
      <c r="M37" s="6" t="inlineStr">
        <is>
          <t>No</t>
        </is>
      </c>
    </row>
    <row r="38">
      <c r="A38" s="6" t="inlineStr">
        <is>
          <t>F-004</t>
        </is>
      </c>
      <c r="B38" s="6" t="inlineStr">
        <is>
          <t>security</t>
        </is>
      </c>
      <c r="C38" s="6" t="inlineStr">
        <is>
          <t>Data Protection</t>
        </is>
      </c>
      <c r="D38" s="9" t="inlineStr">
        <is>
          <t>Low</t>
        </is>
      </c>
      <c r="E38" s="6" t="inlineStr">
        <is>
          <t>No app classification rationale or data sensitivity noted</t>
        </is>
      </c>
      <c r="F38" s="6" t="inlineStr">
        <is>
          <t>RBCONNECT is classified as 'Important' with no accompanying rationale, data sensitivity level, or security control reference tied to that classification.</t>
        </is>
      </c>
      <c r="G38" s="6" t="inlineStr">
        <is>
          <t>1991RBCONNECTMAmazon Quick Sight  IntegrationImportant</t>
        </is>
      </c>
      <c r="H38" s="6" t="inlineStr"/>
      <c r="I38" s="6" t="inlineStr">
        <is>
          <t>Classification without supporting rationale limits the ability to verify appropriate security controls (encryption, access control) are scoped proportionate to criticality.</t>
        </is>
      </c>
      <c r="J38" s="6" t="inlineStr">
        <is>
          <t>Reference or link the classification criteria/policy used to assign 'Important' and confirm associated security control baseline.</t>
        </is>
      </c>
      <c r="K38" s="6" t="n">
        <v>0.4</v>
      </c>
      <c r="L38" s="6" t="inlineStr">
        <is>
          <t>https://reqcentral.com/wiki/spaces/FES/pages/1143493583/High+Level+Design+Document+-+Contact+Center+-+BAU+R12.0#HighLevelDesignDocumentContactCenterBAUR12.0-2.6.2DataLifecycleandRetention -&gt; 2.1.1 In-Scope Applications</t>
        </is>
      </c>
      <c r="M38" s="6" t="inlineStr">
        <is>
          <t>No</t>
        </is>
      </c>
    </row>
    <row r="39">
      <c r="A39" s="6" t="inlineStr">
        <is>
          <t>F-001</t>
        </is>
      </c>
      <c r="B39" s="6" t="inlineStr">
        <is>
          <t>architecture</t>
        </is>
      </c>
      <c r="C39" s="6" t="inlineStr">
        <is>
          <t>Design Consistency</t>
        </is>
      </c>
      <c r="D39" s="7" t="inlineStr">
        <is>
          <t>Medium</t>
        </is>
      </c>
      <c r="E39" s="6" t="inlineStr">
        <is>
          <t>Middleware and X-Platform components absent from diagram</t>
        </is>
      </c>
      <c r="F39" s="6" t="inlineStr">
        <is>
          <t>The raw section text lists 'X-Platform' and 'Middleware' as components of this section, but neither appears anywhere in the rendered diagram (visual_01.png). No box, actor, or connector represents these components.</t>
        </is>
      </c>
      <c r="G39" s="6" t="inlineStr">
        <is>
          <t xml:space="preserve">X-Platform
Middleware </t>
        </is>
      </c>
      <c r="H39" s="6" t="inlineStr">
        <is>
          <t>Diagram shows Customer, Amazon Connect, Office 365/SES, Vendors/Agents, Ops Manager, Data Lake, Athena, Glue, LakeFormation, QuickSight, CloudWatch, S3 â€” no 'X-Platform' or 'Middleware' component is visible.</t>
        </is>
      </c>
      <c r="I39" s="6" t="inlineStr">
        <is>
          <t>Reviewers cannot verify how the Middleware/X-Platform integrates with Amazon Connect or the Data Lake, creating an undocumented gap in the architecture and integration boundary.</t>
        </is>
      </c>
      <c r="J39" s="6" t="inlineStr">
        <is>
          <t>Add the Middleware and X-Platform components to the diagram with their connectors, or remove them from the text if they are out of scope for this section.</t>
        </is>
      </c>
      <c r="K39" s="6" t="n">
        <v>0.75</v>
      </c>
      <c r="L39" s="6" t="inlineStr">
        <is>
          <t>High Level Design Document - Contact Center - BAU R12.0</t>
        </is>
      </c>
      <c r="M39" s="6" t="inlineStr">
        <is>
          <t>Yes</t>
        </is>
      </c>
    </row>
    <row r="40">
      <c r="A40" s="6" t="inlineStr">
        <is>
          <t>F-002</t>
        </is>
      </c>
      <c r="B40" s="6" t="inlineStr">
        <is>
          <t>security</t>
        </is>
      </c>
      <c r="C40" s="6" t="inlineStr">
        <is>
          <t>Data Protection</t>
        </is>
      </c>
      <c r="D40" s="7" t="inlineStr">
        <is>
          <t>Medium</t>
        </is>
      </c>
      <c r="E40" s="6" t="inlineStr">
        <is>
          <t>PCI data export path lacks segregation/encryption annotation</t>
        </is>
      </c>
      <c r="F40" s="6" t="inlineStr">
        <is>
          <t>'AWS Data Export (acc-PCI)' exports data via step 'A. Export' into the same s3 bucket icon used for general AWS Data Export, with no visual trust boundary, encryption marker, or access-control annotation distinguishing PCI-scoped data from non-PCI data.</t>
        </is>
      </c>
      <c r="G40" s="6" t="inlineStr">
        <is>
          <t>AWS Data Export
(acc-PCI)
A. Export</t>
        </is>
      </c>
      <c r="H40" s="6" t="inlineStr">
        <is>
          <t>The 'AWS Data Export (acc-PCI)' box and the standard 'AWS Data Export' box both feed into the same 's3' bucket icon with a single 'A. Export' arrow; no separate boundary, lock/encryption icon, or IAM control is depicted for the PCI-tagged path.</t>
        </is>
      </c>
      <c r="I40" s="6" t="inlineStr">
        <is>
          <t>Without a depicted segregation or encryption control, PCI-scoped data could be perceived as commingled with non-PCI data in the same storage target, raising a compliance and data-protection risk.</t>
        </is>
      </c>
      <c r="J40" s="6" t="inlineStr">
        <is>
          <t>Depict a distinct trust boundary, encryption-at-rest control, and access policy for the PCI account export path, or clarify in the diagram/text that the PCI data lands in an isolated, encrypted bucket.</t>
        </is>
      </c>
      <c r="K40" s="6" t="n">
        <v>0.6</v>
      </c>
      <c r="L40" s="6" t="inlineStr">
        <is>
          <t>High Level Design Document - Contact Center - BAU R12.0</t>
        </is>
      </c>
      <c r="M40" s="6" t="inlineStr">
        <is>
          <t>Yes</t>
        </is>
      </c>
    </row>
    <row r="41">
      <c r="A41" s="6" t="inlineStr">
        <is>
          <t>F-003</t>
        </is>
      </c>
      <c r="B41" s="6" t="inlineStr">
        <is>
          <t>security</t>
        </is>
      </c>
      <c r="C41" s="6" t="inlineStr">
        <is>
          <t>Authentication</t>
        </is>
      </c>
      <c r="D41" s="9" t="inlineStr">
        <is>
          <t>Low</t>
        </is>
      </c>
      <c r="E41" s="6" t="inlineStr">
        <is>
          <t>No authentication step shown for QuickSight/Ops Manager access</t>
        </is>
      </c>
      <c r="F41" s="6" t="inlineStr">
        <is>
          <t>The Ops Manager actor connects directly to QuickSight ('1. fetch' flows from QuickSight to Athena), but no authentication step (e.g., SSO/IAM login) is shown between Ops Manager and QuickSight, even though downstream steps 3â€“4 show 'Check Permission' and 'Get Cred' for Athena-to-LakeFormation access.</t>
        </is>
      </c>
      <c r="G41" s="6" t="inlineStr">
        <is>
          <t>1. fetch
2. GetMetadata
3. Check Permission
4. Get Cred</t>
        </is>
      </c>
      <c r="H41" s="6" t="inlineStr">
        <is>
          <t>Arrow from 'Ops Manager' actor goes straight into 'QuickSight' box with no labeled authentication step; permission/credential checks only appear later in the Athenaâ†’Glueâ†’LakeFormation chain.</t>
        </is>
      </c>
      <c r="I41" s="6" t="inlineStr">
        <is>
          <t>Omission may just be diagram simplification, but it leaves the initial user-authentication boundary undocumented, which is relevant to a security review of access controls.</t>
        </is>
      </c>
      <c r="J41" s="6" t="inlineStr">
        <is>
          <t>Add an explicit authentication/authorization step (e.g., IAM/SSO) between Ops Manager and QuickSight, or confirm it is handled at the AWS account/IdP layer outside this diagram.</t>
        </is>
      </c>
      <c r="K41" s="6" t="n">
        <v>0.55</v>
      </c>
      <c r="L41" s="6" t="inlineStr">
        <is>
          <t>High Level Design Document - Contact Center - BAU R12.0</t>
        </is>
      </c>
      <c r="M41" s="6" t="inlineStr">
        <is>
          <t>Yes</t>
        </is>
      </c>
    </row>
    <row r="42">
      <c r="A42" s="6" t="inlineStr">
        <is>
          <t>F-004</t>
        </is>
      </c>
      <c r="B42" s="6" t="inlineStr">
        <is>
          <t>integration</t>
        </is>
      </c>
      <c r="C42" s="6" t="inlineStr">
        <is>
          <t>Integration Error Handling</t>
        </is>
      </c>
      <c r="D42" s="7" t="inlineStr">
        <is>
          <t>Medium</t>
        </is>
      </c>
      <c r="E42" s="6" t="inlineStr">
        <is>
          <t>No error/failure handling depicted for email routing loop (SES/Office365/Connect)</t>
        </is>
      </c>
      <c r="F42" s="6" t="inlineStr">
        <is>
          <t>The email flow shows a multi-hop loop: Customerâ†’Office365 (1b), Office365â†’SES (2a Redirect), SESâ†’Connect (2b Route), Connectâ†’SES (7a Route), SESâ†’Office365â†’Customer (8a). No failure, retry, or dead-letter path is shown if any hop (e.g., SES routing or Connect processing) fails.</t>
        </is>
      </c>
      <c r="G42" s="6" t="inlineStr">
        <is>
          <t>1b: Send Email
2a: Redirect
2b: Route
7a: Route
8a: Receive email</t>
        </is>
      </c>
      <c r="H42" s="6" t="inlineStr">
        <is>
          <t>Arrows for 1b, 2a, 2b, 7a, 8a form a closed loop between Customer, Office 365, SES, and Amazon Connect with no alternate/error path or failure indicator.</t>
        </is>
      </c>
      <c r="I42" s="6" t="inlineStr">
        <is>
          <t>Without depicted error handling, undeliverable or failed email routing scenarios (bounce, SES throttling, Connect queue failure) are unaddressed in the design, risking silent message loss.</t>
        </is>
      </c>
      <c r="J42" s="6" t="inlineStr">
        <is>
          <t>Document the error/retry/bounce-handling path for the email routing chain (SES bounce notifications, dead-letter queue, or fallback routing).</t>
        </is>
      </c>
      <c r="K42" s="6" t="n">
        <v>0.6</v>
      </c>
      <c r="L42" s="6" t="inlineStr">
        <is>
          <t>High Level Design Document - Contact Center - BAU R12.0</t>
        </is>
      </c>
      <c r="M42" s="6" t="inlineStr">
        <is>
          <t>Yes</t>
        </is>
      </c>
    </row>
    <row r="43">
      <c r="A43" s="6" t="inlineStr">
        <is>
          <t>F-005</t>
        </is>
      </c>
      <c r="B43" s="6" t="inlineStr">
        <is>
          <t>ivr</t>
        </is>
      </c>
      <c r="C43" s="6" t="inlineStr">
        <is>
          <t>Disconnect</t>
        </is>
      </c>
      <c r="D43" s="9" t="inlineStr">
        <is>
          <t>Low</t>
        </is>
      </c>
      <c r="E43" s="6" t="inlineStr">
        <is>
          <t>No caller-side retry/disconnect handling shown for Amazon Connect call flow</t>
        </is>
      </c>
      <c r="F43" s="6" t="inlineStr">
        <is>
          <t>The diagram depicts only a single '1a: Call' arrow from Customer to Amazon Connect with logging to CloudWatch (step 3); there is no depiction of queueing, transfer, retry, or disconnect behavior for the voice/IVR interaction itself.</t>
        </is>
      </c>
      <c r="G43" s="6" t="inlineStr">
        <is>
          <t>1a: Call
3: Logs, Metrics</t>
        </is>
      </c>
      <c r="H43" s="6" t="inlineStr">
        <is>
          <t>Only one arrow labeled '1a: Call' enters Amazon Connect from Customer; no queue, transfer, or disconnect elements are shown around the Connect box for the voice channel.</t>
        </is>
      </c>
      <c r="I43" s="6" t="inlineStr">
        <is>
          <t>This section appears focused on data lifecycle/lake ingestion rather than the IVR contact flow itself, so caller experience details (retries, transfers, disconnects) may be documented elsewhere; absence here could be mistaken for a gap.</t>
        </is>
      </c>
      <c r="J43" s="6" t="inlineStr">
        <is>
          <t>Confirm the detailed IVR contact flow (queue, transfer, retry, disconnect logic) is documented in a separate contact-flow section, and cross-reference it here.</t>
        </is>
      </c>
      <c r="K43" s="6" t="n">
        <v>0.5</v>
      </c>
      <c r="L43" s="6" t="inlineStr">
        <is>
          <t>High Level Design Document - Contact Center - BAU R12.0</t>
        </is>
      </c>
      <c r="M43" s="6" t="inlineStr">
        <is>
          <t>Yes</t>
        </is>
      </c>
    </row>
    <row r="44">
      <c r="A44" s="6" t="inlineStr">
        <is>
          <t>F-006</t>
        </is>
      </c>
      <c r="B44" s="6" t="inlineStr">
        <is>
          <t>architecture</t>
        </is>
      </c>
      <c r="C44" s="6" t="inlineStr">
        <is>
          <t>Single Point of Failure</t>
        </is>
      </c>
      <c r="D44" s="9" t="inlineStr">
        <is>
          <t>Low</t>
        </is>
      </c>
      <c r="E44" s="6" t="inlineStr">
        <is>
          <t>Amazon Athena depicted as sole broker for all data-query paths</t>
        </is>
      </c>
      <c r="F44" s="6" t="inlineStr">
        <is>
          <t>All 'Get Data' flows (Connect Customer, AWS Cost, IVR logs) route exclusively through the single 'Amazon Athena' node before reaching Data Lake, CloudWatch log-group, or S3, with no depicted redundancy or failover for this component.</t>
        </is>
      </c>
      <c r="G44" s="6" t="inlineStr">
        <is>
          <t>5.Get Data (Connect Customer)
5a. GetData (AWS Cost)
5b.GetData (IVR)</t>
        </is>
      </c>
      <c r="H44" s="6" t="inlineStr">
        <is>
          <t>Arrows labeled 5, 5a, 5b all originate from or terminate at the single 'Amazon Athena' box, which also receives 'Get Cred' from LakeFormation and 'GetMetadata' from Glue Data Catalog â€” no secondary/failover Athena path is shown.</t>
        </is>
      </c>
      <c r="I44" s="6" t="inlineStr">
        <is>
          <t>If Athena is unavailable, all query/visualization data paths (customer data, cost data, IVR logs) are blocked, since QuickSight has no alternate route shown.</t>
        </is>
      </c>
      <c r="J44" s="6" t="inlineStr">
        <is>
          <t>Confirm Athena's managed-service availability SLA is acceptable for this dependency, or document a fallback query path if one exists.</t>
        </is>
      </c>
      <c r="K44" s="6" t="n">
        <v>0.45</v>
      </c>
      <c r="L44" s="6" t="inlineStr">
        <is>
          <t>High Level Design Document - Contact Center - BAU R12.0</t>
        </is>
      </c>
      <c r="M44" s="6" t="inlineStr">
        <is>
          <t>Yes</t>
        </is>
      </c>
    </row>
  </sheetData>
  <autoFilter ref="A1:M4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showGridLines="0" workbookViewId="0">
      <pane ySplit="1" topLeftCell="A2" activePane="bottomLeft" state="frozen"/>
      <selection pane="bottomLeft" activeCell="A1" sqref="A1"/>
    </sheetView>
  </sheetViews>
  <sheetFormatPr baseColWidth="8" defaultRowHeight="15"/>
  <cols>
    <col width="18" customWidth="1" min="1" max="1"/>
    <col width="22" customWidth="1" min="2" max="2"/>
    <col width="60" customWidth="1" min="3" max="3"/>
    <col width="75" customWidth="1" min="4" max="4"/>
    <col width="60" customWidth="1" min="5" max="5"/>
    <col width="16" customWidth="1" min="6" max="6"/>
  </cols>
  <sheetData>
    <row r="1" ht="28" customHeight="1">
      <c r="A1" s="5" t="inlineStr">
        <is>
          <t>Scope</t>
        </is>
      </c>
      <c r="B1" s="5" t="inlineStr">
        <is>
          <t>Category</t>
        </is>
      </c>
      <c r="C1" s="5" t="inlineStr">
        <is>
          <t>Check</t>
        </is>
      </c>
      <c r="D1" s="5" t="inlineStr">
        <is>
          <t>Evidence</t>
        </is>
      </c>
      <c r="E1" s="5" t="inlineStr">
        <is>
          <t>Section Reference</t>
        </is>
      </c>
      <c r="F1" s="5" t="inlineStr">
        <is>
          <t>Visual Reviewed</t>
        </is>
      </c>
    </row>
    <row r="2">
      <c r="A2" s="6" t="inlineStr">
        <is>
          <t>architecture</t>
        </is>
      </c>
      <c r="B2" s="6" t="inlineStr">
        <is>
          <t>Component Boundary</t>
        </is>
      </c>
      <c r="C2" s="6" t="inlineStr">
        <is>
          <t>Verified that stated project objectives text and requirement table both reference the same two components (Amazon Connect, Amazon QuickSight) without contradiction.</t>
        </is>
      </c>
      <c r="D2" s="6" t="inlineStr">
        <is>
          <t>Narrative text introduces scope across 'vendors, platforms, and support teams'; table lists R1/R2 both involving Connect and QuickSight consistently.</t>
        </is>
      </c>
      <c r="E2" s="6" t="inlineStr">
        <is>
          <t>https://reqcentral.com/wiki/spaces/FES/pages/1143493583/High+Level+Design+Document+-+Contact+Center+-+BAU+R12.0#HighLevelDesignDocumentContactCenterBAUR12.0-2.6.2DataLifecycleandRetention -&gt; 1.2 Project Objectives</t>
        </is>
      </c>
      <c r="F2" s="6" t="inlineStr">
        <is>
          <t>No</t>
        </is>
      </c>
    </row>
    <row r="3">
      <c r="A3" s="6" t="inlineStr">
        <is>
          <t>architecture</t>
        </is>
      </c>
      <c r="B3" s="6" t="inlineStr">
        <is>
          <t>Design Consistency</t>
        </is>
      </c>
      <c r="C3" s="6" t="inlineStr">
        <is>
          <t>Verified that the stated purpose of Amazon Quick Sight (BI/dashboarding) and Connect data lake (centralized data repository) are described consistently with no contradicting statements within the text.</t>
        </is>
      </c>
      <c r="D3" s="6" t="inlineStr">
        <is>
          <t>Amazon Quick Sight is data visualization and analysis component of Amazon Quick. Amazon Connect data lake is centralized repository for data generated by Amazon Connect and Amazon Quick Sight is BI tool which will help build dashboard for day2 operation.</t>
        </is>
      </c>
      <c r="E3" s="6" t="inlineStr">
        <is>
          <t>https://reqcentral.com/wiki/spaces/FES/pages/1143493583/High+Level+Design+Document+-+Contact+Center+-+BAU+R12.0#HighLevelDesignDocumentContactCenterBAUR12.0-2.6.2DataLifecycleandRetention -&gt; 1.3 Solution Summary</t>
        </is>
      </c>
      <c r="F3" s="6" t="inlineStr">
        <is>
          <t>No</t>
        </is>
      </c>
    </row>
    <row r="4">
      <c r="A4" s="6" t="inlineStr">
        <is>
          <t>architecture</t>
        </is>
      </c>
      <c r="B4" s="6" t="inlineStr">
        <is>
          <t>Component Boundary</t>
        </is>
      </c>
      <c r="C4" s="6" t="inlineStr">
        <is>
          <t>Verified that the in-scope table enumerates distinct impacted areas without overlapping or duplicate entries</t>
        </is>
      </c>
      <c r="D4" s="6" t="inlineStr">
        <is>
          <t>Table lists six distinct impacted areas: Amazon Connect, Customer Experience, Agent Experience, Security &amp; Compliance, TSYS backend, Middleware, Operation Experience, each with a single Yes/No Change value.</t>
        </is>
      </c>
      <c r="E4" s="6" t="inlineStr">
        <is>
          <t>https://reqcentral.com/wiki/spaces/FES/pages/1143493583/High+Level+Design+Document+-+Contact+Center+-+BAU+R12.0#HighLevelDesignDocumentContactCenterBAUR12.0-2.6.2DataLifecycleandRetention -&gt; 1.4.1 In Scope</t>
        </is>
      </c>
      <c r="F4" s="6" t="inlineStr">
        <is>
          <t>No</t>
        </is>
      </c>
    </row>
    <row r="5">
      <c r="A5" s="6" t="inlineStr">
        <is>
          <t>architecture</t>
        </is>
      </c>
      <c r="B5" s="6" t="inlineStr">
        <is>
          <t>Design Consistency</t>
        </is>
      </c>
      <c r="C5" s="6" t="inlineStr">
        <is>
          <t>Verified the Out-of-Scope table entries are internally consistent (Impacted Area / Out of Scope columns populated for each row) with no contradictory statements.</t>
        </is>
      </c>
      <c r="D5" s="6" t="inlineStr">
        <is>
          <t>Both rows list 'Operation Experience' as Impacted Area with a corresponding Out of Scope description; no conflicting statements found in the supplied text.</t>
        </is>
      </c>
      <c r="E5" s="6" t="inlineStr">
        <is>
          <t>https://reqcentral.com/wiki/spaces/FES/pages/1143493583/High+Level+Design+Document+-+Contact+Center+-+BAU+R12.0#HighLevelDesignDocumentContactCenterBAUR12.0-2.6.2DataLifecycleandRetention -&gt; 1.4.2 Out of Scope</t>
        </is>
      </c>
      <c r="F5" s="6" t="inlineStr">
        <is>
          <t>No</t>
        </is>
      </c>
    </row>
    <row r="6">
      <c r="A6" s="6" t="inlineStr">
        <is>
          <t>architecture</t>
        </is>
      </c>
      <c r="B6" s="6" t="inlineStr">
        <is>
          <t>Design Consistency</t>
        </is>
      </c>
      <c r="C6" s="6" t="inlineStr">
        <is>
          <t>Verified the limitation table entry is internally consistent (single limitation row with ID, description, and impact fields all populated).</t>
        </is>
      </c>
      <c r="D6" s="6" t="inlineStr">
        <is>
          <t>Row: ID 1, "Data export is only available in us-east-1", replication description, Impact L â€” all fields present with no contradiction between description and stated impact direction (us-east-1 to ca-central-1).</t>
        </is>
      </c>
      <c r="E6" s="6" t="inlineStr">
        <is>
          <t>https://reqcentral.com/wiki/spaces/FES/pages/1143493583/High+Level+Design+Document+-+Contact+Center+-+BAU+R12.0#HighLevelDesignDocumentContactCenterBAUR12.0-2.6.2DataLifecycleandRetention -&gt; 1.5.3 Limitations</t>
        </is>
      </c>
      <c r="F6" s="6" t="inlineStr">
        <is>
          <t>No</t>
        </is>
      </c>
    </row>
    <row r="7">
      <c r="A7" s="6" t="inlineStr">
        <is>
          <t>architecture</t>
        </is>
      </c>
      <c r="B7" s="6" t="inlineStr">
        <is>
          <t>Component Boundary</t>
        </is>
      </c>
      <c r="C7" s="6" t="inlineStr">
        <is>
          <t>Verified that actors/roles are grouped by ownership (Vendor, RB, RCI, External) to establish organizational boundaries relevant to the contact center solution.</t>
        </is>
      </c>
      <c r="D7" s="6" t="inlineStr">
        <is>
          <t>Table lists Group column values: External, Vendor, RB, RCI for each Entity/Actor.</t>
        </is>
      </c>
      <c r="E7" s="6" t="inlineStr">
        <is>
          <t>https://reqcentral.com/wiki/spaces/FES/pages/1143493583/High+Level+Design+Document+-+Contact+Center+-+BAU+R12.0#HighLevelDesignDocumentContactCenterBAUR12.0-2.6.2DataLifecycleandRetention -&gt; 1.6 Business Processes/Considerations</t>
        </is>
      </c>
      <c r="F7" s="6" t="inlineStr">
        <is>
          <t>No</t>
        </is>
      </c>
    </row>
    <row r="8">
      <c r="A8" s="6" t="inlineStr">
        <is>
          <t>architecture</t>
        </is>
      </c>
      <c r="B8" s="6" t="inlineStr">
        <is>
          <t>Design Consistency</t>
        </is>
      </c>
      <c r="C8" s="6" t="inlineStr">
        <is>
          <t>Verify legend categories (No Change, New, Existing, New Integration, New Integration (PCI), Separate HLD, Out of Scope) are used to differentiate connector/component treatment</t>
        </is>
      </c>
      <c r="D8" s="6" t="inlineStr">
        <is>
          <t>A legend box is present distinguishing connector colors/styles (green for New/New Integration (PCI), black for Existing/No Change) and these styles are consistently applied to most connectors in the diagram (e.g., green line to Datalake/Athena/QuickSight marked New, black lines to TSYS/CNX marked Existing).</t>
        </is>
      </c>
      <c r="E8" s="6" t="inlineStr">
        <is>
          <t>RBConnect Context Diagram</t>
        </is>
      </c>
      <c r="F8" s="6" t="inlineStr">
        <is>
          <t>Yes</t>
        </is>
      </c>
    </row>
    <row r="9">
      <c r="A9" s="6" t="inlineStr">
        <is>
          <t>integration</t>
        </is>
      </c>
      <c r="B9" s="6" t="inlineStr">
        <is>
          <t>API</t>
        </is>
      </c>
      <c r="C9" s="6" t="inlineStr">
        <is>
          <t>Verify PCI use cases 1-3 route through the CDE VPC before reaching TSYS Open APIs</t>
        </is>
      </c>
      <c r="D9" s="6" t="inlineStr">
        <is>
          <t>The 'PCI use cases: 1. GetAccountByCard 2. Set/Update PIN 3. Verify PIN' box has a direct connector into the CDE VPC box, which in turn connects to TSYS Open APIs through the firewall.</t>
        </is>
      </c>
      <c r="E9" s="6" t="inlineStr">
        <is>
          <t>RBConnect Context Diagram</t>
        </is>
      </c>
      <c r="F9" s="6" t="inlineStr">
        <is>
          <t>Yes</t>
        </is>
      </c>
    </row>
    <row r="10">
      <c r="A10" s="6" t="inlineStr">
        <is>
          <t>architecture</t>
        </is>
      </c>
      <c r="B10" s="6" t="inlineStr">
        <is>
          <t>Design Consistency</t>
        </is>
      </c>
      <c r="C10" s="6" t="inlineStr">
        <is>
          <t>Verify the Application Inventory table includes the required columns per the section instruction.</t>
        </is>
      </c>
      <c r="D10" s="6" t="inlineStr">
        <is>
          <t>Header row present: App ID, App Name, New/Modified (N/M), Notes, App Classification â€” matching the instructed fields.</t>
        </is>
      </c>
      <c r="E10" s="6" t="inlineStr">
        <is>
          <t>https://reqcentral.com/wiki/spaces/FES/pages/1143493583/High+Level+Design+Document+-+Contact+Center+-+BAU+R12.0#HighLevelDesignDocumentContactCenterBAUR12.0-2.6.2DataLifecycleandRetention -&gt; 2.1.1 In-Scope Applications</t>
        </is>
      </c>
      <c r="F10" s="6" t="inlineStr">
        <is>
          <t>No</t>
        </is>
      </c>
    </row>
    <row r="11">
      <c r="A11" s="6" t="inlineStr">
        <is>
          <t>architecture</t>
        </is>
      </c>
      <c r="B11" s="6" t="inlineStr">
        <is>
          <t>Component Boundary</t>
        </is>
      </c>
      <c r="C11" s="6" t="inlineStr">
        <is>
          <t>Verified separation of 'Data Generation' and 'Data Query &amp; Visualisation' swim-lanes</t>
        </is>
      </c>
      <c r="D11" s="6" t="inlineStr">
        <is>
          <t>Diagram shows two clearly labeled outer boundary boxes: 'Data Generation' (top) containing Customer/Connect/SES/Office365/Ops Manager/Data Lake, and 'Data Query &amp; Visualisation' (bottom) containing Athena/Glue/LakeFormation/QuickSight/S3.</t>
        </is>
      </c>
      <c r="E11" s="6" t="inlineStr">
        <is>
          <t>High Level Design Document - Contact Center - BAU R12.0</t>
        </is>
      </c>
      <c r="F11" s="6" t="inlineStr">
        <is>
          <t>Yes</t>
        </is>
      </c>
    </row>
    <row r="12">
      <c r="A12" s="6" t="inlineStr">
        <is>
          <t>integration</t>
        </is>
      </c>
      <c r="B12" s="6" t="inlineStr">
        <is>
          <t>API</t>
        </is>
      </c>
      <c r="C12" s="6" t="inlineStr">
        <is>
          <t>Verified metadata/permission/credential sequence for Athena-to-LakeFormation access is sequentially numbered and consistent</t>
        </is>
      </c>
      <c r="D12" s="6" t="inlineStr">
        <is>
          <t>Steps 2 (GetMetadata to Glue), 3 (Check Permission to LakeFormation), 4 (Get Cred back to Athena) are labeled in a coherent, ordered sequence in both text and diagram.</t>
        </is>
      </c>
      <c r="E12" s="6" t="inlineStr">
        <is>
          <t>High Level Design Document - Contact Center - BAU R12.0</t>
        </is>
      </c>
      <c r="F12" s="6" t="inlineStr">
        <is>
          <t>Yes</t>
        </is>
      </c>
    </row>
    <row r="13">
      <c r="A13" s="6" t="inlineStr">
        <is>
          <t>security</t>
        </is>
      </c>
      <c r="B13" s="6" t="inlineStr">
        <is>
          <t>Authorization</t>
        </is>
      </c>
      <c r="C13" s="6" t="inlineStr">
        <is>
          <t>Verified a permission-check step exists before data access in the query path</t>
        </is>
      </c>
      <c r="D13" s="6" t="inlineStr">
        <is>
          <t>Diagram/text explicitly show '3. Check Permission' against AWS LakeFormation prior to '5. Get Data (Connect Customer)', indicating an authorization gate is in place for the Data Lake read path.</t>
        </is>
      </c>
      <c r="E13" s="6" t="inlineStr">
        <is>
          <t>High Level Design Document - Contact Center - BAU R12.0</t>
        </is>
      </c>
      <c r="F13" s="6" t="inlineStr">
        <is>
          <t>Yes</t>
        </is>
      </c>
    </row>
  </sheetData>
  <autoFilter ref="A1:F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6"/>
  <sheetViews>
    <sheetView showGridLines="0" workbookViewId="0">
      <pane ySplit="1" topLeftCell="A2" activePane="bottomLeft" state="frozen"/>
      <selection pane="bottomLeft" activeCell="A1" sqref="A1"/>
    </sheetView>
  </sheetViews>
  <sheetFormatPr baseColWidth="8" defaultRowHeight="15"/>
  <cols>
    <col width="18" customWidth="1" min="1" max="1"/>
    <col width="80" customWidth="1" min="2" max="2"/>
    <col width="80" customWidth="1" min="3" max="3"/>
    <col width="65" customWidth="1" min="4" max="4"/>
  </cols>
  <sheetData>
    <row r="1" ht="28" customHeight="1">
      <c r="A1" s="5" t="inlineStr">
        <is>
          <t>Scope</t>
        </is>
      </c>
      <c r="B1" s="5" t="inlineStr">
        <is>
          <t>Reason</t>
        </is>
      </c>
      <c r="C1" s="5" t="inlineStr">
        <is>
          <t>Required Action</t>
        </is>
      </c>
      <c r="D1" s="5" t="inlineStr">
        <is>
          <t>Section Reference</t>
        </is>
      </c>
    </row>
    <row r="2">
      <c r="A2" s="6" t="inlineStr">
        <is>
          <t>architecture</t>
        </is>
      </c>
      <c r="B2" s="6" t="inlineStr">
        <is>
          <t>The section is a high-level business summary and contains no architectural components, boundaries, or data flow detail to validate.</t>
        </is>
      </c>
      <c r="C2" s="6" t="inlineStr">
        <is>
          <t>Review subsequent architecture/component sections of the HLD for topology, component responsibilities, and dependency validation.</t>
        </is>
      </c>
      <c r="D2" s="6" t="inlineStr">
        <is>
          <t>https://reqcentral.com/wiki/spaces/FES/pages/1143493583/High+Level+Design+Document+-+Contact+Center+-+BAU+R12.0#HighLevelDesignDocumentContactCenterBAUR12.0-2.6.2DataLifecycleandRetention -&gt; 1.1 Business Solution Summary</t>
        </is>
      </c>
    </row>
    <row r="3">
      <c r="A3" s="6" t="inlineStr">
        <is>
          <t>ivr</t>
        </is>
      </c>
      <c r="B3" s="6" t="inlineStr">
        <is>
          <t>No contact flow, prompt, queue, Lambda, or Lex detail is present in this section to assess IVR/caller experience behavior.</t>
        </is>
      </c>
      <c r="C3" s="6" t="inlineStr">
        <is>
          <t>Review IVR contact flow sections for prompt, queue, transfer, and retry/disconnect behavior related to this release.</t>
        </is>
      </c>
      <c r="D3" s="6" t="inlineStr">
        <is>
          <t>https://reqcentral.com/wiki/spaces/FES/pages/1143493583/High+Level+Design+Document+-+Contact+Center+-+BAU+R12.0#HighLevelDesignDocumentContactCenterBAUR12.0-2.6.2DataLifecycleandRetention -&gt; 1.1 Business Solution Summary</t>
        </is>
      </c>
    </row>
    <row r="4">
      <c r="A4" s="6" t="inlineStr">
        <is>
          <t>security</t>
        </is>
      </c>
      <c r="B4" s="6" t="inlineStr">
        <is>
          <t>No authentication, authorization, IAM, encryption, or data protection detail is provided regarding QuickSight access to Amazon Connect data or Cost &amp; Usage Report data.</t>
        </is>
      </c>
      <c r="C4" s="6" t="inlineStr">
        <is>
          <t>Validate IAM roles/policies, encryption at rest/in transit, and access controls governing QuickSight's access to Connect and billing data in the security section.</t>
        </is>
      </c>
      <c r="D4" s="6" t="inlineStr">
        <is>
          <t>https://reqcentral.com/wiki/spaces/FES/pages/1143493583/High+Level+Design+Document+-+Contact+Center+-+BAU+R12.0#HighLevelDesignDocumentContactCenterBAUR12.0-2.6.2DataLifecycleandRetention -&gt; 1.1 Business Solution Summary</t>
        </is>
      </c>
    </row>
    <row r="5">
      <c r="A5" s="6" t="inlineStr">
        <is>
          <t>architecture</t>
        </is>
      </c>
      <c r="B5" s="6" t="inlineStr">
        <is>
          <t>Section references a linked wiki anchor (2.6.2 Data Lifecycle and Retention) not included in the supplied raw content, so consistency between this summary and that section cannot be verified.</t>
        </is>
      </c>
      <c r="C5" s="6" t="inlineStr">
        <is>
          <t>Cross-check this business summary against the Data Lifecycle and Retention section for consistency once that content is supplied.</t>
        </is>
      </c>
      <c r="D5" s="6" t="inlineStr">
        <is>
          <t>https://reqcentral.com/wiki/spaces/FES/pages/1143493583/High+Level+Design+Document+-+Contact+Center+-+BAU+R12.0#HighLevelDesignDocumentContactCenterBAUR12.0-2.6.2DataLifecycleandRetention -&gt; 1.1 Business Solution Summary</t>
        </is>
      </c>
    </row>
    <row r="6">
      <c r="A6" s="6" t="inlineStr">
        <is>
          <t>ivr</t>
        </is>
      </c>
      <c r="B6" s="6" t="inlineStr">
        <is>
          <t>No contact flow, prompt, queue, Lambda, Lex, transfer, retry, or disconnect information is present in this section to evaluate caller experience or IVR behavior.</t>
        </is>
      </c>
      <c r="C6" s="6" t="inlineStr">
        <is>
          <t>Review the dedicated contact flow / IVR design sections for caller experience and error-handling details.</t>
        </is>
      </c>
      <c r="D6" s="6" t="inlineStr">
        <is>
          <t>https://reqcentral.com/wiki/spaces/FES/pages/1143493583/High+Level+Design+Document+-+Contact+Center+-+BAU+R12.0#HighLevelDesignDocumentContactCenterBAUR12.0-2.6.2DataLifecycleandRetention -&gt; 1.2 Project Objectives</t>
        </is>
      </c>
    </row>
    <row r="7">
      <c r="A7" s="6" t="inlineStr">
        <is>
          <t>architecture</t>
        </is>
      </c>
      <c r="B7" s="6" t="inlineStr">
        <is>
          <t>No deployment topology, data flow diagram, or component dependency description is included in this section; a diagram is implied by the document type but not supplied.</t>
        </is>
      </c>
      <c r="C7" s="6" t="inlineStr">
        <is>
          <t>Obtain and review the architecture/data flow diagram referenced elsewhere in the full HLD to validate component boundaries and dependencies.</t>
        </is>
      </c>
      <c r="D7" s="6" t="inlineStr">
        <is>
          <t>https://reqcentral.com/wiki/spaces/FES/pages/1143493583/High+Level+Design+Document+-+Contact+Center+-+BAU+R12.0#HighLevelDesignDocumentContactCenterBAUR12.0-2.6.2DataLifecycleandRetention -&gt; 1.2 Project Objectives</t>
        </is>
      </c>
    </row>
    <row r="8">
      <c r="A8" s="6" t="inlineStr">
        <is>
          <t>security</t>
        </is>
      </c>
      <c r="B8" s="6" t="inlineStr">
        <is>
          <t>No IAM, authentication, or encryption details are stated for the QuickSight/Connect integration in this section.</t>
        </is>
      </c>
      <c r="C8" s="6" t="inlineStr">
        <is>
          <t>Validate IAM roles, authentication mechanism, and encryption configuration in the security-specific HLD section covering this integration.</t>
        </is>
      </c>
      <c r="D8" s="6" t="inlineStr">
        <is>
          <t>https://reqcentral.com/wiki/spaces/FES/pages/1143493583/High+Level+Design+Document+-+Contact+Center+-+BAU+R12.0#HighLevelDesignDocumentContactCenterBAUR12.0-2.6.2DataLifecycleandRetention -&gt; 1.2 Project Objectives</t>
        </is>
      </c>
    </row>
    <row r="9">
      <c r="A9" s="6" t="inlineStr">
        <is>
          <t>architecture</t>
        </is>
      </c>
      <c r="B9" s="6" t="inlineStr">
        <is>
          <t>No diagram or visual artifact was supplied to validate the described data flow between Connect data lake, S3, Athena, and Quick Sight, though the text implies a multi-component architecture.</t>
        </is>
      </c>
      <c r="C9" s="6" t="inlineStr">
        <is>
          <t>Review the accompanying architecture diagram (if one exists elsewhere in the HLD) to confirm component boundaries and data flow direction match this text description.</t>
        </is>
      </c>
      <c r="D9" s="6" t="inlineStr">
        <is>
          <t>https://reqcentral.com/wiki/spaces/FES/pages/1143493583/High+Level+Design+Document+-+Contact+Center+-+BAU+R12.0#HighLevelDesignDocumentContactCenterBAUR12.0-2.6.2DataLifecycleandRetention -&gt; 1.3 Solution Summary</t>
        </is>
      </c>
    </row>
    <row r="10">
      <c r="A10" s="6" t="inlineStr">
        <is>
          <t>ivr</t>
        </is>
      </c>
      <c r="B10" s="6" t="inlineStr">
        <is>
          <t>This section (1.3 Solution Summary) contains no IVR/contact flow, prompt, queue, Lambda, Lex, transfer, retry, or disconnect content to evaluate; it is limited to BI/reporting architecture.</t>
        </is>
      </c>
      <c r="C10" s="6" t="inlineStr">
        <is>
          <t>Confirm with the document owner whether IVR/contact flow details are covered in a different section, and review that section separately for IVR-specific findings.</t>
        </is>
      </c>
      <c r="D10" s="6" t="inlineStr">
        <is>
          <t>https://reqcentral.com/wiki/spaces/FES/pages/1143493583/High+Level+Design+Document+-+Contact+Center+-+BAU+R12.0#HighLevelDesignDocumentContactCenterBAUR12.0-2.6.2DataLifecycleandRetention -&gt; 1.3 Solution Summary</t>
        </is>
      </c>
    </row>
    <row r="11">
      <c r="A11" s="6" t="inlineStr">
        <is>
          <t>security</t>
        </is>
      </c>
      <c r="B11" s="6" t="inlineStr">
        <is>
          <t>The reference table cites separate PCI and Non-PCI HLD versions, but this section does not indicate which controls in this summary apply to PCI-scoped data, if any.</t>
        </is>
      </c>
      <c r="C11" s="6" t="inlineStr">
        <is>
          <t>Validate against the referenced 'HLD v1 (PCI)' document whether the Connect data lake/S3 export path handles any PCI-scoped data and what additional controls apply.</t>
        </is>
      </c>
      <c r="D11" s="6" t="inlineStr">
        <is>
          <t>https://reqcentral.com/wiki/spaces/FES/pages/1143493583/High+Level+Design+Document+-+Contact+Center+-+BAU+R12.0#HighLevelDesignDocumentContactCenterBAUR12.0-2.6.2DataLifecycleandRetention -&gt; 1.3 Solution Summary</t>
        </is>
      </c>
    </row>
    <row r="12">
      <c r="A12" s="6" t="inlineStr">
        <is>
          <t>architecture</t>
        </is>
      </c>
      <c r="B12" s="6" t="inlineStr">
        <is>
          <t>No diagram or visual artifact was supplied to validate the in-scope table against an architecture or component diagram.</t>
        </is>
      </c>
      <c r="C12" s="6" t="inlineStr">
        <is>
          <t>Obtain and review the associated architecture diagram (if any exists) to confirm consistency with the in-scope table.</t>
        </is>
      </c>
      <c r="D12" s="6" t="inlineStr">
        <is>
          <t>https://reqcentral.com/wiki/spaces/FES/pages/1143493583/High+Level+Design+Document+-+Contact+Center+-+BAU+R12.0#HighLevelDesignDocumentContactCenterBAUR12.0-2.6.2DataLifecycleandRetention -&gt; 1.4.1 In Scope</t>
        </is>
      </c>
    </row>
    <row r="13">
      <c r="A13" s="6" t="inlineStr">
        <is>
          <t>security</t>
        </is>
      </c>
      <c r="B13" s="6" t="inlineStr">
        <is>
          <t>The section provides no detail on the actual security/compliance changes, so specific IAM, encryption, or authentication controls cannot be validated from this evidence alone.</t>
        </is>
      </c>
      <c r="C13" s="6" t="inlineStr">
        <is>
          <t>Review the detailed Security &amp; Compliance design section (if present elsewhere in the document) to validate specific controls.</t>
        </is>
      </c>
      <c r="D13" s="6" t="inlineStr">
        <is>
          <t>https://reqcentral.com/wiki/spaces/FES/pages/1143493583/High+Level+Design+Document+-+Contact+Center+-+BAU+R12.0#HighLevelDesignDocumentContactCenterBAUR12.0-2.6.2DataLifecycleandRetention -&gt; 1.4.1 In Scope</t>
        </is>
      </c>
    </row>
    <row r="14">
      <c r="A14" s="6" t="inlineStr">
        <is>
          <t>ivr</t>
        </is>
      </c>
      <c r="B14" s="6" t="inlineStr">
        <is>
          <t>No contact flow, prompt, or queue detail is present to validate IVR-specific behavior for the Amazon Connect in-scope change.</t>
        </is>
      </c>
      <c r="C14" s="6" t="inlineStr">
        <is>
          <t>Review corresponding contact flow design/detail sections to validate prompts, queues, and transfer logic impacted by the Amazon Connect change.</t>
        </is>
      </c>
      <c r="D14" s="6" t="inlineStr">
        <is>
          <t>https://reqcentral.com/wiki/spaces/FES/pages/1143493583/High+Level+Design+Document+-+Contact+Center+-+BAU+R12.0#HighLevelDesignDocumentContactCenterBAUR12.0-2.6.2DataLifecycleandRetention -&gt; 1.4.1 In Scope</t>
        </is>
      </c>
    </row>
    <row r="15">
      <c r="A15" s="6" t="inlineStr">
        <is>
          <t>security</t>
        </is>
      </c>
      <c r="B15" s="6" t="inlineStr">
        <is>
          <t>No security-related out-of-scope statements are present in this section, so it cannot be determined whether security controls (e.g., encryption, IAM, secrets) are fully addressed elsewhere or unintentionally omitted from scope boundaries.</t>
        </is>
      </c>
      <c r="C15" s="6" t="inlineStr">
        <is>
          <t>Review the full HLD document to confirm security scope boundaries are defined in another section and are not inadvertently excluded.</t>
        </is>
      </c>
      <c r="D15" s="6" t="inlineStr">
        <is>
          <t>https://reqcentral.com/wiki/spaces/FES/pages/1143493583/High+Level+Design+Document+-+Contact+Center+-+BAU+R12.0#HighLevelDesignDocumentContactCenterBAUR12.0-2.6.2DataLifecycleandRetention -&gt; 1.4.2 Out of Scope</t>
        </is>
      </c>
    </row>
    <row r="16">
      <c r="A16" s="6" t="inlineStr">
        <is>
          <t>ivr</t>
        </is>
      </c>
      <c r="B16" s="6" t="inlineStr">
        <is>
          <t>No IVR/Contact Flow related out-of-scope statements are present in this section; no visual attachment was supplied to verify any related diagram references.</t>
        </is>
      </c>
      <c r="C16" s="6" t="inlineStr">
        <is>
          <t>Confirm with document owner whether IVR/Contact Center specific exclusions exist and should be added to this section, and review any linked diagrams manually.</t>
        </is>
      </c>
      <c r="D16" s="6" t="inlineStr">
        <is>
          <t>https://reqcentral.com/wiki/spaces/FES/pages/1143493583/High+Level+Design+Document+-+Contact+Center+-+BAU+R12.0#HighLevelDesignDocumentContactCenterBAUR12.0-2.6.2DataLifecycleandRetention -&gt; 1.4.2 Out of Scope</t>
        </is>
      </c>
    </row>
    <row r="17">
      <c r="A17" s="6" t="inlineStr">
        <is>
          <t>ivr</t>
        </is>
      </c>
      <c r="B17" s="6" t="inlineStr">
        <is>
          <t>No IVR/Contact Flow, prompt, queue, Lambda, Lex, transfer, retry, or disconnect content is present in this section to evaluate against IVR review objectives.</t>
        </is>
      </c>
      <c r="C17" s="6" t="inlineStr">
        <is>
          <t>Confirm whether IVR-specific behavior is documented elsewhere and review that content separately; no action possible from this section alone.</t>
        </is>
      </c>
      <c r="D17" s="6" t="inlineStr">
        <is>
          <t>https://reqcentral.com/wiki/spaces/FES/pages/1143493583/High+Level+Design+Document+-+Contact+Center+-+BAU+R12.0#HighLevelDesignDocumentContactCenterBAUR12.0-2.6.2DataLifecycleandRetention -&gt; 1.5.3 Limitations</t>
        </is>
      </c>
    </row>
    <row r="18">
      <c r="A18" s="6" t="inlineStr">
        <is>
          <t>security</t>
        </is>
      </c>
      <c r="B18" s="6" t="inlineStr">
        <is>
          <t>No visual/diagram evidence was supplied to validate network boundaries, IAM roles, or encryption configuration for the cross-region S3 replication described in text.</t>
        </is>
      </c>
      <c r="C18" s="6" t="inlineStr">
        <is>
          <t>Obtain and review the architecture diagram or IAM/S3 bucket policy configuration for the replication setup to confirm encryption and access control implementation.</t>
        </is>
      </c>
      <c r="D18" s="6" t="inlineStr">
        <is>
          <t>https://reqcentral.com/wiki/spaces/FES/pages/1143493583/High+Level+Design+Document+-+Contact+Center+-+BAU+R12.0#HighLevelDesignDocumentContactCenterBAUR12.0-2.6.2DataLifecycleandRetention -&gt; 1.5.3 Limitations</t>
        </is>
      </c>
    </row>
    <row r="19">
      <c r="A19" s="6" t="inlineStr">
        <is>
          <t>ivr</t>
        </is>
      </c>
      <c r="B19" s="6" t="inlineStr">
        <is>
          <t>The supplied content contains no contact flow, prompt, queue, Lambda, Lex, transfer, retry, or disconnect details; this section is purely an organizational impact table and provides no IVR-specific evidence to assess.</t>
        </is>
      </c>
      <c r="C19" s="6" t="inlineStr">
        <is>
          <t>Review the actual contact flow/IVR design sections separately for IVR-specific findings.</t>
        </is>
      </c>
      <c r="D19" s="6" t="inlineStr">
        <is>
          <t>https://reqcentral.com/wiki/spaces/FES/pages/1143493583/High+Level+Design+Document+-+Contact+Center+-+BAU+R12.0#HighLevelDesignDocumentContactCenterBAUR12.0-2.6.2DataLifecycleandRetention -&gt; 1.6 Business Processes/Considerations</t>
        </is>
      </c>
    </row>
    <row r="20">
      <c r="A20" s="6" t="inlineStr">
        <is>
          <t>integration</t>
        </is>
      </c>
      <c r="B20" s="6" t="inlineStr">
        <is>
          <t>No API, event, payload, queue, or external dependency interface details are present in this section; content is limited to actor/role impact mapping.</t>
        </is>
      </c>
      <c r="C20" s="6" t="inlineStr">
        <is>
          <t>Assess integration-specific evidence in the relevant architecture/interface sections of the HLD.</t>
        </is>
      </c>
      <c r="D20" s="6" t="inlineStr">
        <is>
          <t>https://reqcentral.com/wiki/spaces/FES/pages/1143493583/High+Level+Design+Document+-+Contact+Center+-+BAU+R12.0#HighLevelDesignDocumentContactCenterBAUR12.0-2.6.2DataLifecycleandRetention -&gt; 1.6 Business Processes/Considerations</t>
        </is>
      </c>
    </row>
    <row r="21">
      <c r="A21" s="6" t="inlineStr">
        <is>
          <t>architecture</t>
        </is>
      </c>
      <c r="B21" s="6" t="inlineStr">
        <is>
          <t>No diagram or visual artifact was supplied to confirm whether the actor/role groupings in this table are consistent with any organizational or deployment diagrams referenced elsewhere in the document.</t>
        </is>
      </c>
      <c r="C21" s="6" t="inlineStr">
        <is>
          <t>Obtain and review the associated architecture/organization diagram (if any) to confirm consistency with this table.</t>
        </is>
      </c>
      <c r="D21" s="6" t="inlineStr">
        <is>
          <t>https://reqcentral.com/wiki/spaces/FES/pages/1143493583/High+Level+Design+Document+-+Contact+Center+-+BAU+R12.0#HighLevelDesignDocumentContactCenterBAUR12.0-2.6.2DataLifecycleandRetention -&gt; 1.6 Business Processes/Considerations</t>
        </is>
      </c>
    </row>
    <row r="22">
      <c r="A22" s="6" t="inlineStr">
        <is>
          <t>ivr</t>
        </is>
      </c>
      <c r="B22" s="6" t="inlineStr">
        <is>
          <t>No components are listed in the deployment table, so it cannot be determined whether IVR/Contact Flow, Lex, or Lambda components are part of Drop 1.</t>
        </is>
      </c>
      <c r="C22" s="6" t="inlineStr">
        <is>
          <t>Reviewer should confirm with the author which IVR/contact center components are included in Drop 1 and whether IVR-specific testing is planned.</t>
        </is>
      </c>
      <c r="D22" s="6" t="inlineStr">
        <is>
          <t>https://reqcentral.com/wiki/spaces/FES/pages/1143493583/High+Level+Design+Document+-+Contact+Center+-+BAU+R12.0#HighLevelDesignDocumentContactCenterBAUR12.0-2.6.2DataLifecycleandRetention -&gt; 1.7 Deployment Approach</t>
        </is>
      </c>
    </row>
    <row r="23">
      <c r="A23" s="6" t="inlineStr">
        <is>
          <t>architecture</t>
        </is>
      </c>
      <c r="B23" s="6" t="inlineStr">
        <is>
          <t>Deployment topology, environment sequencing, and rollback strategy are not described in the placeholder text; no diagram or visual was supplied.</t>
        </is>
      </c>
      <c r="C23" s="6" t="inlineStr">
        <is>
          <t>Reviewer should obtain the completed deployment approach narrative and any deployment topology diagram for validation.</t>
        </is>
      </c>
      <c r="D23" s="6" t="inlineStr">
        <is>
          <t>https://reqcentral.com/wiki/spaces/FES/pages/1143493583/High+Level+Design+Document+-+Contact+Center+-+BAU+R12.0#HighLevelDesignDocumentContactCenterBAUR12.0-2.6.2DataLifecycleandRetention -&gt; 1.7 Deployment Approach</t>
        </is>
      </c>
    </row>
    <row r="24">
      <c r="A24" s="6" t="inlineStr">
        <is>
          <t>security</t>
        </is>
      </c>
      <c r="B24" s="6" t="inlineStr">
        <is>
          <t>No evidence available to determine if the deployment drop includes security-relevant components or security test gates.</t>
        </is>
      </c>
      <c r="C24" s="6" t="inlineStr">
        <is>
          <t>Reviewer should request the finalized component list and confirm security testing coverage for the drop.</t>
        </is>
      </c>
      <c r="D24" s="6" t="inlineStr">
        <is>
          <t>https://reqcentral.com/wiki/spaces/FES/pages/1143493583/High+Level+Design+Document+-+Contact+Center+-+BAU+R12.0#HighLevelDesignDocumentContactCenterBAUR12.0-2.6.2DataLifecycleandRetention -&gt; 1.7 Deployment Approach</t>
        </is>
      </c>
    </row>
    <row r="25">
      <c r="A25" s="6" t="inlineStr">
        <is>
          <t>security</t>
        </is>
      </c>
      <c r="B25" s="6" t="inlineStr">
        <is>
          <t>No connector in the diagram is labeled with encryption/TLS or transport security information for any external integration (TSYS, Citrix Cloud, CNX/GS, HIYA, Office 365).</t>
        </is>
      </c>
      <c r="C25" s="6" t="inlineStr">
        <is>
          <t>Review the detailed network/security design documents to confirm encryption in transit is applied on all external and cross-account connectors shown here.</t>
        </is>
      </c>
      <c r="D25" s="6" t="inlineStr">
        <is>
          <t>RBConnect Context Diagram</t>
        </is>
      </c>
    </row>
    <row r="26">
      <c r="A26" s="6" t="inlineStr">
        <is>
          <t>ivr</t>
        </is>
      </c>
      <c r="B26" s="6" t="inlineStr">
        <is>
          <t>Citrix Cloud is shown as an intermediary for CSR/Ops Mgr agent desktops connecting into Amazon Connect, but no security or session control detail for Citrix Cloud is provided in this diagram.</t>
        </is>
      </c>
      <c r="C26" s="6" t="inlineStr">
        <is>
          <t>Validate Citrix Cloud's access control and session security posture in the Citrix-specific design documentation.</t>
        </is>
      </c>
      <c r="D26" s="6" t="inlineStr">
        <is>
          <t>RBConnect Context Diagram</t>
        </is>
      </c>
    </row>
    <row r="27">
      <c r="A27" s="6" t="inlineStr">
        <is>
          <t>architecture</t>
        </is>
      </c>
      <c r="B27" s="6" t="inlineStr">
        <is>
          <t>The legend includes a 'Separate HLD' category, but no connector or component in the diagram appears to be visually styled as 'Separate HLD', making it unclear which element(s) it is meant to apply to.</t>
        </is>
      </c>
      <c r="C27" s="6" t="inlineStr">
        <is>
          <t>Confirm with the diagram author which component(s), if any, are covered by a separate HLD, or remove the unused legend entry.</t>
        </is>
      </c>
      <c r="D27" s="6" t="inlineStr">
        <is>
          <t>RBConnect Context Diagram</t>
        </is>
      </c>
    </row>
    <row r="28">
      <c r="A28" s="6" t="inlineStr">
        <is>
          <t>architecture</t>
        </is>
      </c>
      <c r="B28" s="6" t="inlineStr">
        <is>
          <t>The raw text is a flattened table extraction; actual cell boundaries and full row/column structure cannot be confirmed from the plain-text evidence supplied.</t>
        </is>
      </c>
      <c r="C28" s="6" t="inlineStr">
        <is>
          <t>Review the original wiki page table rendering (HTML/table view) to confirm correct row/column alignment and whether additional applications exist beyond RBCONNECT.</t>
        </is>
      </c>
      <c r="D28" s="6" t="inlineStr">
        <is>
          <t>https://reqcentral.com/wiki/spaces/FES/pages/1143493583/High+Level+Design+Document+-+Contact+Center+-+BAU+R12.0#HighLevelDesignDocumentContactCenterBAUR12.0-2.6.2DataLifecycleandRetention -&gt; 2.1.1 In-Scope Applications</t>
        </is>
      </c>
    </row>
    <row r="29">
      <c r="A29" s="6" t="inlineStr">
        <is>
          <t>integration</t>
        </is>
      </c>
      <c r="B29" s="6" t="inlineStr">
        <is>
          <t>No visual/diagram (Project Context diagram referenced by the section instruction) was supplied to cross-check that all impacted applications, including any QuickSight component, are represented.</t>
        </is>
      </c>
      <c r="C29" s="6" t="inlineStr">
        <is>
          <t>Inspect the Project Context diagram referenced in this section and confirm it matches the Application Inventory table entries.</t>
        </is>
      </c>
      <c r="D29" s="6" t="inlineStr">
        <is>
          <t>https://reqcentral.com/wiki/spaces/FES/pages/1143493583/High+Level+Design+Document+-+Contact+Center+-+BAU+R12.0#HighLevelDesignDocumentContactCenterBAUR12.0-2.6.2DataLifecycleandRetention -&gt; 2.1.1 In-Scope Applications</t>
        </is>
      </c>
    </row>
    <row r="30">
      <c r="A30" s="6" t="inlineStr">
        <is>
          <t>architecture</t>
        </is>
      </c>
      <c r="B30" s="6" t="inlineStr">
        <is>
          <t>The supplied text only describes the authoring convention for the Application Communication diagram (iServer Visio artifact naming/type). It does not itself contain component boundaries, data flow, dependency, or deployment topology content to assess architectural structure or consistency.</t>
        </is>
      </c>
      <c r="C30" s="6" t="inlineStr">
        <is>
          <t>Obtain and review the actual T9.1 EXT Application Communication Diagram (Visio/embedded image) to validate application components, interfaces, boundaries, and data flow.</t>
        </is>
      </c>
      <c r="D30" s="6" t="inlineStr">
        <is>
          <t>https://reqcentral.com/wiki/spaces/FES/pages/1143493583/High+Level+Design+Document+-+Contact+Center+-+BAU+R12.0#HighLevelDesignDocumentContactCenterBAUR12.0-2.6.2DataLifecycleandRetention -&gt; 2.2 Application Communication</t>
        </is>
      </c>
    </row>
    <row r="31">
      <c r="A31" s="6" t="inlineStr">
        <is>
          <t>integration</t>
        </is>
      </c>
      <c r="B31" s="6" t="inlineStr">
        <is>
          <t>No APIs, events, queues, Lambda integrations, payload contracts, or error handling details are present in the supplied text; only a reference to interfaces existing on an unavailable diagram.</t>
        </is>
      </c>
      <c r="C31" s="6" t="inlineStr">
        <is>
          <t>Review the referenced diagram and any linked interface specifications to assess integration contracts and error handling.</t>
        </is>
      </c>
      <c r="D31" s="6" t="inlineStr">
        <is>
          <t>https://reqcentral.com/wiki/spaces/FES/pages/1143493583/High+Level+Design+Document+-+Contact+Center+-+BAU+R12.0#HighLevelDesignDocumentContactCenterBAUR12.0-2.6.2DataLifecycleandRetention -&gt; 2.2 Application Communication</t>
        </is>
      </c>
    </row>
    <row r="32">
      <c r="A32" s="6" t="inlineStr">
        <is>
          <t>ivr</t>
        </is>
      </c>
      <c r="B32" s="6" t="inlineStr">
        <is>
          <t>No Amazon Connect, contact flow, Lambda/Lex, queue, or caller experience content is present in this section's text.</t>
        </is>
      </c>
      <c r="C32" s="6" t="inlineStr">
        <is>
          <t>Confirm whether IVR/contact center behavior is documented elsewhere in the HLD; not assessable from this section alone.</t>
        </is>
      </c>
      <c r="D32" s="6" t="inlineStr">
        <is>
          <t>https://reqcentral.com/wiki/spaces/FES/pages/1143493583/High+Level+Design+Document+-+Contact+Center+-+BAU+R12.0#HighLevelDesignDocumentContactCenterBAUR12.0-2.6.2DataLifecycleandRetention -&gt; 2.2 Application Communication</t>
        </is>
      </c>
    </row>
    <row r="33">
      <c r="A33" s="6" t="inlineStr">
        <is>
          <t>security</t>
        </is>
      </c>
      <c r="B33" s="6" t="inlineStr">
        <is>
          <t>No authentication, authorization, IAM, encryption, secrets, or network security information is present in the supplied text.</t>
        </is>
      </c>
      <c r="C33" s="6" t="inlineStr">
        <is>
          <t>Confirm security controls for application-to-application communication are documented in a security-specific section, and review that content separately.</t>
        </is>
      </c>
      <c r="D33" s="6" t="inlineStr">
        <is>
          <t>https://reqcentral.com/wiki/spaces/FES/pages/1143493583/High+Level+Design+Document+-+Contact+Center+-+BAU+R12.0#HighLevelDesignDocumentContactCenterBAUR12.0-2.6.2DataLifecycleandRetention -&gt; 2.2 Application Communication</t>
        </is>
      </c>
    </row>
    <row r="34">
      <c r="A34" s="6" t="inlineStr">
        <is>
          <t>ivr</t>
        </is>
      </c>
      <c r="B34" s="6" t="inlineStr">
        <is>
          <t>The supplied evidence is a data-lifecycle/lake ingestion diagram, not a detailed Amazon Connect contact flow; prompts, Lex/Lambda integration, and transfer logic for the IVR are not depicted here.</t>
        </is>
      </c>
      <c r="C34" s="6" t="inlineStr">
        <is>
          <t>Review the dedicated Amazon Connect contact-flow diagrams/config to validate prompts, queue behavior, Lambda/Lex integration, and transfer/retry logic.</t>
        </is>
      </c>
      <c r="D34" s="6" t="inlineStr">
        <is>
          <t>High Level Design Document - Contact Center - BAU R12.0</t>
        </is>
      </c>
    </row>
    <row r="35">
      <c r="A35" s="6" t="inlineStr">
        <is>
          <t>security</t>
        </is>
      </c>
      <c r="B35" s="6" t="inlineStr">
        <is>
          <t>Encryption-at-rest/in-transit controls for S3 buckets, Data Lake, and CloudWatch log-group are not visually or textually confirmed in this section.</t>
        </is>
      </c>
      <c r="C35" s="6" t="inlineStr">
        <is>
          <t>Validate via IaC/config or a security architecture document that all S3 buckets and log groups referenced (s3, s3, Data Lake, log-group (connect)) enforce encryption and least-privilege IAM policies.</t>
        </is>
      </c>
      <c r="D35" s="6" t="inlineStr">
        <is>
          <t>High Level Design Document - Contact Center - BAU R12.0</t>
        </is>
      </c>
    </row>
    <row r="36">
      <c r="A36" s="6" t="inlineStr">
        <is>
          <t>integration</t>
        </is>
      </c>
      <c r="B36" s="6" t="inlineStr">
        <is>
          <t>Payload contracts/schemas for the 'GetData' calls (Connect Customer, AWS Cost, IVR) are referenced only by label, with no schema, format, or error-response contract supplied.</t>
        </is>
      </c>
      <c r="C36" s="6" t="inlineStr">
        <is>
          <t>Obtain and review the interface/payload specification documents for the Athena GetData calls to confirm contract completeness and error handling.</t>
        </is>
      </c>
      <c r="D36" s="6" t="inlineStr">
        <is>
          <t>High Level Design Document - Contact Center - BAU R12.0</t>
        </is>
      </c>
    </row>
  </sheetData>
  <autoFilter ref="A1:D3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showGridLines="0" workbookViewId="0">
      <pane ySplit="1" topLeftCell="A2" activePane="bottomLeft" state="frozen"/>
      <selection pane="bottomLeft" activeCell="A1" sqref="A1"/>
    </sheetView>
  </sheetViews>
  <sheetFormatPr baseColWidth="8" defaultRowHeight="15"/>
  <cols>
    <col width="12" customWidth="1" min="1" max="1"/>
    <col width="50" customWidth="1" min="2" max="2"/>
    <col width="85" customWidth="1" min="3" max="3"/>
    <col width="80" customWidth="1" min="4" max="4"/>
  </cols>
  <sheetData>
    <row r="1" ht="28" customHeight="1">
      <c r="A1" s="5" t="inlineStr">
        <is>
          <t>Section ID</t>
        </is>
      </c>
      <c r="B1" s="5" t="inlineStr">
        <is>
          <t>Section</t>
        </is>
      </c>
      <c r="C1" s="5" t="inlineStr">
        <is>
          <t>Error</t>
        </is>
      </c>
      <c r="D1" s="5" t="inlineStr">
        <is>
          <t>Raw Response</t>
        </is>
      </c>
    </row>
  </sheetData>
  <autoFilter ref="A1:D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13"/>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34" customWidth="1" min="3" max="3"/>
    <col width="16" customWidth="1" min="4" max="4"/>
    <col width="18" customWidth="1" min="5" max="5"/>
    <col width="55" customWidth="1" min="6" max="6"/>
    <col width="26" customWidth="1" min="7" max="7"/>
    <col width="18" customWidth="1" min="8" max="8"/>
    <col width="10" customWidth="1" min="9" max="9"/>
    <col width="14" customWidth="1" min="10" max="10"/>
    <col width="15" customWidth="1" min="11" max="11"/>
    <col width="17" customWidth="1" min="12" max="12"/>
    <col width="14" customWidth="1" min="13" max="13"/>
    <col width="14" customWidth="1" min="14" max="14"/>
    <col width="20" customWidth="1" min="15" max="15"/>
    <col width="16" customWidth="1" min="16" max="16"/>
    <col width="14" customWidth="1" min="17" max="17"/>
    <col width="14" customWidth="1" min="18" max="18"/>
    <col width="16" customWidth="1" min="19" max="19"/>
    <col width="14" customWidth="1" min="20" max="20"/>
    <col width="16" customWidth="1" min="21" max="21"/>
    <col width="14" customWidth="1" min="22" max="22"/>
    <col width="12" customWidth="1" min="23" max="23"/>
    <col width="14" customWidth="1" min="24" max="24"/>
    <col width="15" customWidth="1" min="25" max="25"/>
    <col width="14" customWidth="1" min="26" max="26"/>
    <col width="20" customWidth="1" min="27" max="27"/>
    <col width="16" customWidth="1" min="28" max="28"/>
  </cols>
  <sheetData>
    <row r="1" ht="28" customHeight="1">
      <c r="A1" s="5" t="inlineStr">
        <is>
          <t>Section ID</t>
        </is>
      </c>
      <c r="B1" s="5" t="inlineStr">
        <is>
          <t>Section</t>
        </is>
      </c>
      <c r="C1" s="5" t="inlineStr">
        <is>
          <t>Scopes</t>
        </is>
      </c>
      <c r="D1" s="5" t="inlineStr">
        <is>
          <t>Requested Mode</t>
        </is>
      </c>
      <c r="E1" s="5" t="inlineStr">
        <is>
          <t>Requested Auto Tier</t>
        </is>
      </c>
      <c r="F1" s="5" t="inlineStr">
        <is>
          <t>Selection Reason</t>
        </is>
      </c>
      <c r="G1" s="5" t="inlineStr">
        <is>
          <t>Actual Model</t>
        </is>
      </c>
      <c r="H1" s="5" t="inlineStr">
        <is>
          <t>Actual Auto Tier</t>
        </is>
      </c>
      <c r="I1" s="5" t="inlineStr">
        <is>
          <t>Calls</t>
        </is>
      </c>
      <c r="J1" s="5" t="inlineStr">
        <is>
          <t>Input Tokens</t>
        </is>
      </c>
      <c r="K1" s="5" t="inlineStr">
        <is>
          <t>Output Tokens</t>
        </is>
      </c>
      <c r="L1" s="5" t="inlineStr">
        <is>
          <t>Reasoning Tokens</t>
        </is>
      </c>
      <c r="M1" s="5" t="inlineStr">
        <is>
          <t>Total Tokens</t>
        </is>
      </c>
      <c r="N1" s="5" t="inlineStr">
        <is>
          <t>AI Credits</t>
        </is>
      </c>
      <c r="O1" s="5" t="inlineStr">
        <is>
          <t>Premium Request Cost</t>
        </is>
      </c>
      <c r="P1" s="5" t="inlineStr">
        <is>
          <t>Visual Reviewed</t>
        </is>
      </c>
      <c r="Q1" s="5" t="inlineStr">
        <is>
          <t>Turn Status</t>
        </is>
      </c>
      <c r="R1" s="5" t="inlineStr">
        <is>
          <t>Source Chars</t>
        </is>
      </c>
      <c r="S1" s="5" t="inlineStr">
        <is>
          <t>Source Est. Tokens</t>
        </is>
      </c>
      <c r="T1" s="5" t="inlineStr">
        <is>
          <t>Prompt Chars</t>
        </is>
      </c>
      <c r="U1" s="5" t="inlineStr">
        <is>
          <t>Prompt Est. Tokens</t>
        </is>
      </c>
      <c r="V1" s="5" t="inlineStr">
        <is>
          <t>System Chars</t>
        </is>
      </c>
      <c r="W1" s="5" t="inlineStr">
        <is>
          <t>Attachments</t>
        </is>
      </c>
      <c r="X1" s="5" t="inlineStr">
        <is>
          <t>Context Tokens</t>
        </is>
      </c>
      <c r="Y1" s="5" t="inlineStr">
        <is>
          <t>Context Limit</t>
        </is>
      </c>
      <c r="Z1" s="5" t="inlineStr">
        <is>
          <t>Context System</t>
        </is>
      </c>
      <c r="AA1" s="5" t="inlineStr">
        <is>
          <t>Context Conversation</t>
        </is>
      </c>
      <c r="AB1" s="5" t="inlineStr">
        <is>
          <t>Context Tools</t>
        </is>
      </c>
    </row>
    <row r="2">
      <c r="A2" s="6" t="n">
        <v>6</v>
      </c>
      <c r="B2" s="6" t="inlineStr">
        <is>
          <t>1.1 Business Solution Summary</t>
        </is>
      </c>
      <c r="C2" s="6" t="inlineStr">
        <is>
          <t>architecture, integration, ivr, security</t>
        </is>
      </c>
      <c r="D2" s="6" t="inlineStr">
        <is>
          <t>auto</t>
        </is>
      </c>
      <c r="E2" s="6" t="inlineStr">
        <is>
          <t>default</t>
        </is>
      </c>
      <c r="F2" s="6" t="inlineStr"/>
      <c r="G2" s="6" t="inlineStr">
        <is>
          <t>claude-sonnet-5</t>
        </is>
      </c>
      <c r="H2" s="6" t="inlineStr"/>
      <c r="I2" s="6" t="n">
        <v>1</v>
      </c>
      <c r="J2" s="6" t="n">
        <v>23063</v>
      </c>
      <c r="K2" s="6" t="n">
        <v>1847</v>
      </c>
      <c r="L2" s="6" t="n">
        <v>0</v>
      </c>
      <c r="M2" s="6" t="n">
        <v>24910</v>
      </c>
      <c r="N2" s="6" t="n">
        <v>7.61265</v>
      </c>
      <c r="O2" s="6" t="n">
        <v>1</v>
      </c>
      <c r="P2" s="6" t="inlineStr">
        <is>
          <t>No</t>
        </is>
      </c>
      <c r="Q2" s="6" t="inlineStr">
        <is>
          <t>completed</t>
        </is>
      </c>
      <c r="R2" s="6" t="n">
        <v>206</v>
      </c>
      <c r="S2" s="6" t="n">
        <v>52</v>
      </c>
      <c r="T2" s="6" t="n">
        <v>6134</v>
      </c>
      <c r="U2" s="6" t="n">
        <v>1534</v>
      </c>
      <c r="V2" s="6" t="n">
        <v>493</v>
      </c>
      <c r="W2" s="6" t="n">
        <v>0</v>
      </c>
      <c r="X2" s="6" t="n">
        <v>0</v>
      </c>
      <c r="Y2" s="6" t="n">
        <v>0</v>
      </c>
      <c r="Z2" s="6" t="n">
        <v>0</v>
      </c>
      <c r="AA2" s="6" t="n">
        <v>0</v>
      </c>
      <c r="AB2" s="6" t="n">
        <v>0</v>
      </c>
    </row>
    <row r="3">
      <c r="A3" s="6" t="n">
        <v>7</v>
      </c>
      <c r="B3" s="6" t="inlineStr">
        <is>
          <t>1.2 Project Objectives</t>
        </is>
      </c>
      <c r="C3" s="6" t="inlineStr">
        <is>
          <t>architecture, integration, ivr, security</t>
        </is>
      </c>
      <c r="D3" s="6" t="inlineStr">
        <is>
          <t>auto</t>
        </is>
      </c>
      <c r="E3" s="6" t="inlineStr">
        <is>
          <t>default</t>
        </is>
      </c>
      <c r="F3" s="6" t="inlineStr"/>
      <c r="G3" s="6" t="inlineStr">
        <is>
          <t>claude-sonnet-5</t>
        </is>
      </c>
      <c r="H3" s="6" t="inlineStr"/>
      <c r="I3" s="6" t="n">
        <v>1</v>
      </c>
      <c r="J3" s="6" t="n">
        <v>23196</v>
      </c>
      <c r="K3" s="6" t="n">
        <v>3192</v>
      </c>
      <c r="L3" s="6" t="n">
        <v>0</v>
      </c>
      <c r="M3" s="6" t="n">
        <v>26388</v>
      </c>
      <c r="N3" s="6" t="n">
        <v>6.36545</v>
      </c>
      <c r="O3" s="6" t="n">
        <v>1</v>
      </c>
      <c r="P3" s="6" t="inlineStr">
        <is>
          <t>No</t>
        </is>
      </c>
      <c r="Q3" s="6" t="inlineStr">
        <is>
          <t>completed</t>
        </is>
      </c>
      <c r="R3" s="6" t="n">
        <v>638</v>
      </c>
      <c r="S3" s="6" t="n">
        <v>160</v>
      </c>
      <c r="T3" s="6" t="n">
        <v>6555</v>
      </c>
      <c r="U3" s="6" t="n">
        <v>1639</v>
      </c>
      <c r="V3" s="6" t="n">
        <v>493</v>
      </c>
      <c r="W3" s="6" t="n">
        <v>0</v>
      </c>
      <c r="X3" s="6" t="n">
        <v>0</v>
      </c>
      <c r="Y3" s="6" t="n">
        <v>0</v>
      </c>
      <c r="Z3" s="6" t="n">
        <v>0</v>
      </c>
      <c r="AA3" s="6" t="n">
        <v>0</v>
      </c>
      <c r="AB3" s="6" t="n">
        <v>0</v>
      </c>
    </row>
    <row r="4">
      <c r="A4" s="6" t="n">
        <v>8</v>
      </c>
      <c r="B4" s="6" t="inlineStr">
        <is>
          <t>1.3 Solution Summary</t>
        </is>
      </c>
      <c r="C4" s="6" t="inlineStr">
        <is>
          <t>architecture, integration, ivr, security</t>
        </is>
      </c>
      <c r="D4" s="6" t="inlineStr">
        <is>
          <t>auto</t>
        </is>
      </c>
      <c r="E4" s="6" t="inlineStr">
        <is>
          <t>default</t>
        </is>
      </c>
      <c r="F4" s="6" t="inlineStr"/>
      <c r="G4" s="6" t="inlineStr">
        <is>
          <t>claude-sonnet-5</t>
        </is>
      </c>
      <c r="H4" s="6" t="inlineStr"/>
      <c r="I4" s="6" t="n">
        <v>1</v>
      </c>
      <c r="J4" s="6" t="n">
        <v>23359</v>
      </c>
      <c r="K4" s="6" t="n">
        <v>3631</v>
      </c>
      <c r="L4" s="6" t="n">
        <v>0</v>
      </c>
      <c r="M4" s="6" t="n">
        <v>26990</v>
      </c>
      <c r="N4" s="6" t="n">
        <v>6.8452</v>
      </c>
      <c r="O4" s="6" t="n">
        <v>1</v>
      </c>
      <c r="P4" s="6" t="inlineStr">
        <is>
          <t>No</t>
        </is>
      </c>
      <c r="Q4" s="6" t="inlineStr">
        <is>
          <t>completed</t>
        </is>
      </c>
      <c r="R4" s="6" t="n">
        <v>1025</v>
      </c>
      <c r="S4" s="6" t="n">
        <v>257</v>
      </c>
      <c r="T4" s="6" t="n">
        <v>6932</v>
      </c>
      <c r="U4" s="6" t="n">
        <v>1733</v>
      </c>
      <c r="V4" s="6" t="n">
        <v>493</v>
      </c>
      <c r="W4" s="6" t="n">
        <v>0</v>
      </c>
      <c r="X4" s="6" t="n">
        <v>0</v>
      </c>
      <c r="Y4" s="6" t="n">
        <v>0</v>
      </c>
      <c r="Z4" s="6" t="n">
        <v>0</v>
      </c>
      <c r="AA4" s="6" t="n">
        <v>0</v>
      </c>
      <c r="AB4" s="6" t="n">
        <v>0</v>
      </c>
    </row>
    <row r="5">
      <c r="A5" s="6" t="n">
        <v>10</v>
      </c>
      <c r="B5" s="6" t="inlineStr">
        <is>
          <t>1.4.1 In Scope</t>
        </is>
      </c>
      <c r="C5" s="6" t="inlineStr">
        <is>
          <t>architecture, integration, ivr, security</t>
        </is>
      </c>
      <c r="D5" s="6" t="inlineStr">
        <is>
          <t>auto</t>
        </is>
      </c>
      <c r="E5" s="6" t="inlineStr">
        <is>
          <t>default</t>
        </is>
      </c>
      <c r="F5" s="6" t="inlineStr"/>
      <c r="G5" s="6" t="inlineStr">
        <is>
          <t>claude-sonnet-5</t>
        </is>
      </c>
      <c r="H5" s="6" t="inlineStr"/>
      <c r="I5" s="6" t="n">
        <v>1</v>
      </c>
      <c r="J5" s="6" t="n">
        <v>23118</v>
      </c>
      <c r="K5" s="6" t="n">
        <v>3517</v>
      </c>
      <c r="L5" s="6" t="n">
        <v>0</v>
      </c>
      <c r="M5" s="6" t="n">
        <v>26635</v>
      </c>
      <c r="N5" s="6" t="n">
        <v>6.67095</v>
      </c>
      <c r="O5" s="6" t="n">
        <v>1</v>
      </c>
      <c r="P5" s="6" t="inlineStr">
        <is>
          <t>No</t>
        </is>
      </c>
      <c r="Q5" s="6" t="inlineStr">
        <is>
          <t>completed</t>
        </is>
      </c>
      <c r="R5" s="6" t="n">
        <v>316</v>
      </c>
      <c r="S5" s="6" t="n">
        <v>79</v>
      </c>
      <c r="T5" s="6" t="n">
        <v>6193</v>
      </c>
      <c r="U5" s="6" t="n">
        <v>1549</v>
      </c>
      <c r="V5" s="6" t="n">
        <v>493</v>
      </c>
      <c r="W5" s="6" t="n">
        <v>0</v>
      </c>
      <c r="X5" s="6" t="n">
        <v>0</v>
      </c>
      <c r="Y5" s="6" t="n">
        <v>0</v>
      </c>
      <c r="Z5" s="6" t="n">
        <v>0</v>
      </c>
      <c r="AA5" s="6" t="n">
        <v>0</v>
      </c>
      <c r="AB5" s="6" t="n">
        <v>0</v>
      </c>
    </row>
    <row r="6">
      <c r="A6" s="6" t="n">
        <v>11</v>
      </c>
      <c r="B6" s="6" t="inlineStr">
        <is>
          <t>1.4.2 Out of Scope</t>
        </is>
      </c>
      <c r="C6" s="6" t="inlineStr">
        <is>
          <t>architecture, integration, ivr, security</t>
        </is>
      </c>
      <c r="D6" s="6" t="inlineStr">
        <is>
          <t>auto</t>
        </is>
      </c>
      <c r="E6" s="6" t="inlineStr">
        <is>
          <t>default</t>
        </is>
      </c>
      <c r="F6" s="6" t="inlineStr"/>
      <c r="G6" s="6" t="inlineStr">
        <is>
          <t>claude-sonnet-5</t>
        </is>
      </c>
      <c r="H6" s="6" t="inlineStr"/>
      <c r="I6" s="6" t="n">
        <v>1</v>
      </c>
      <c r="J6" s="6" t="n">
        <v>23118</v>
      </c>
      <c r="K6" s="6" t="n">
        <v>2596</v>
      </c>
      <c r="L6" s="6" t="n">
        <v>0</v>
      </c>
      <c r="M6" s="6" t="n">
        <v>25714</v>
      </c>
      <c r="N6" s="6" t="n">
        <v>5.74995</v>
      </c>
      <c r="O6" s="6" t="n">
        <v>1</v>
      </c>
      <c r="P6" s="6" t="inlineStr">
        <is>
          <t>No</t>
        </is>
      </c>
      <c r="Q6" s="6" t="inlineStr">
        <is>
          <t>completed</t>
        </is>
      </c>
      <c r="R6" s="6" t="n">
        <v>390</v>
      </c>
      <c r="S6" s="6" t="n">
        <v>98</v>
      </c>
      <c r="T6" s="6" t="n">
        <v>6287</v>
      </c>
      <c r="U6" s="6" t="n">
        <v>1572</v>
      </c>
      <c r="V6" s="6" t="n">
        <v>493</v>
      </c>
      <c r="W6" s="6" t="n">
        <v>0</v>
      </c>
      <c r="X6" s="6" t="n">
        <v>0</v>
      </c>
      <c r="Y6" s="6" t="n">
        <v>0</v>
      </c>
      <c r="Z6" s="6" t="n">
        <v>0</v>
      </c>
      <c r="AA6" s="6" t="n">
        <v>0</v>
      </c>
      <c r="AB6" s="6" t="n">
        <v>0</v>
      </c>
    </row>
    <row r="7">
      <c r="A7" s="6" t="n">
        <v>17</v>
      </c>
      <c r="B7" s="6" t="inlineStr">
        <is>
          <t>1.5.3 Limitations</t>
        </is>
      </c>
      <c r="C7" s="6" t="inlineStr">
        <is>
          <t>architecture, integration, ivr, security</t>
        </is>
      </c>
      <c r="D7" s="6" t="inlineStr">
        <is>
          <t>auto</t>
        </is>
      </c>
      <c r="E7" s="6" t="inlineStr">
        <is>
          <t>default</t>
        </is>
      </c>
      <c r="F7" s="6" t="inlineStr"/>
      <c r="G7" s="6" t="inlineStr">
        <is>
          <t>claude-sonnet-5</t>
        </is>
      </c>
      <c r="H7" s="6" t="inlineStr"/>
      <c r="I7" s="6" t="n">
        <v>1</v>
      </c>
      <c r="J7" s="6" t="n">
        <v>23066</v>
      </c>
      <c r="K7" s="6" t="n">
        <v>2548</v>
      </c>
      <c r="L7" s="6" t="n">
        <v>0</v>
      </c>
      <c r="M7" s="6" t="n">
        <v>25614</v>
      </c>
      <c r="N7" s="6" t="n">
        <v>5.68895</v>
      </c>
      <c r="O7" s="6" t="n">
        <v>1</v>
      </c>
      <c r="P7" s="6" t="inlineStr">
        <is>
          <t>No</t>
        </is>
      </c>
      <c r="Q7" s="6" t="inlineStr">
        <is>
          <t>completed</t>
        </is>
      </c>
      <c r="R7" s="6" t="n">
        <v>218</v>
      </c>
      <c r="S7" s="6" t="n">
        <v>55</v>
      </c>
      <c r="T7" s="6" t="n">
        <v>6110</v>
      </c>
      <c r="U7" s="6" t="n">
        <v>1528</v>
      </c>
      <c r="V7" s="6" t="n">
        <v>493</v>
      </c>
      <c r="W7" s="6" t="n">
        <v>0</v>
      </c>
      <c r="X7" s="6" t="n">
        <v>0</v>
      </c>
      <c r="Y7" s="6" t="n">
        <v>0</v>
      </c>
      <c r="Z7" s="6" t="n">
        <v>0</v>
      </c>
      <c r="AA7" s="6" t="n">
        <v>0</v>
      </c>
      <c r="AB7" s="6" t="n">
        <v>0</v>
      </c>
    </row>
    <row r="8">
      <c r="A8" s="6" t="n">
        <v>19</v>
      </c>
      <c r="B8" s="6" t="inlineStr">
        <is>
          <t>1.6 Business Processes/Considerations</t>
        </is>
      </c>
      <c r="C8" s="6" t="inlineStr">
        <is>
          <t>architecture, integration, ivr, security</t>
        </is>
      </c>
      <c r="D8" s="6" t="inlineStr">
        <is>
          <t>auto</t>
        </is>
      </c>
      <c r="E8" s="6" t="inlineStr">
        <is>
          <t>default</t>
        </is>
      </c>
      <c r="F8" s="6" t="inlineStr"/>
      <c r="G8" s="6" t="inlineStr">
        <is>
          <t>claude-sonnet-5</t>
        </is>
      </c>
      <c r="H8" s="6" t="inlineStr"/>
      <c r="I8" s="6" t="n">
        <v>1</v>
      </c>
      <c r="J8" s="6" t="n">
        <v>23300</v>
      </c>
      <c r="K8" s="6" t="n">
        <v>3579</v>
      </c>
      <c r="L8" s="6" t="n">
        <v>0</v>
      </c>
      <c r="M8" s="6" t="n">
        <v>26879</v>
      </c>
      <c r="N8" s="6" t="n">
        <v>6.77845</v>
      </c>
      <c r="O8" s="6" t="n">
        <v>1</v>
      </c>
      <c r="P8" s="6" t="inlineStr">
        <is>
          <t>No</t>
        </is>
      </c>
      <c r="Q8" s="6" t="inlineStr">
        <is>
          <t>completed</t>
        </is>
      </c>
      <c r="R8" s="6" t="n">
        <v>763</v>
      </c>
      <c r="S8" s="6" t="n">
        <v>191</v>
      </c>
      <c r="T8" s="6" t="n">
        <v>6755</v>
      </c>
      <c r="U8" s="6" t="n">
        <v>1689</v>
      </c>
      <c r="V8" s="6" t="n">
        <v>493</v>
      </c>
      <c r="W8" s="6" t="n">
        <v>0</v>
      </c>
      <c r="X8" s="6" t="n">
        <v>0</v>
      </c>
      <c r="Y8" s="6" t="n">
        <v>0</v>
      </c>
      <c r="Z8" s="6" t="n">
        <v>0</v>
      </c>
      <c r="AA8" s="6" t="n">
        <v>0</v>
      </c>
      <c r="AB8" s="6" t="n">
        <v>0</v>
      </c>
    </row>
    <row r="9">
      <c r="A9" s="6" t="n">
        <v>20</v>
      </c>
      <c r="B9" s="6" t="inlineStr">
        <is>
          <t>1.7 Deployment Approach</t>
        </is>
      </c>
      <c r="C9" s="6" t="inlineStr">
        <is>
          <t>architecture, integration, ivr, security</t>
        </is>
      </c>
      <c r="D9" s="6" t="inlineStr">
        <is>
          <t>auto</t>
        </is>
      </c>
      <c r="E9" s="6" t="inlineStr">
        <is>
          <t>default</t>
        </is>
      </c>
      <c r="F9" s="6" t="inlineStr"/>
      <c r="G9" s="6" t="inlineStr">
        <is>
          <t>claude-sonnet-5</t>
        </is>
      </c>
      <c r="H9" s="6" t="inlineStr"/>
      <c r="I9" s="6" t="n">
        <v>1</v>
      </c>
      <c r="J9" s="6" t="n">
        <v>23052</v>
      </c>
      <c r="K9" s="6" t="n">
        <v>3013</v>
      </c>
      <c r="L9" s="6" t="n">
        <v>0</v>
      </c>
      <c r="M9" s="6" t="n">
        <v>26065</v>
      </c>
      <c r="N9" s="6" t="n">
        <v>6.15045</v>
      </c>
      <c r="O9" s="6" t="n">
        <v>1</v>
      </c>
      <c r="P9" s="6" t="inlineStr">
        <is>
          <t>No</t>
        </is>
      </c>
      <c r="Q9" s="6" t="inlineStr">
        <is>
          <t>completed</t>
        </is>
      </c>
      <c r="R9" s="6" t="n">
        <v>152</v>
      </c>
      <c r="S9" s="6" t="n">
        <v>38</v>
      </c>
      <c r="T9" s="6" t="n">
        <v>6074</v>
      </c>
      <c r="U9" s="6" t="n">
        <v>1519</v>
      </c>
      <c r="V9" s="6" t="n">
        <v>493</v>
      </c>
      <c r="W9" s="6" t="n">
        <v>0</v>
      </c>
      <c r="X9" s="6" t="n">
        <v>0</v>
      </c>
      <c r="Y9" s="6" t="n">
        <v>0</v>
      </c>
      <c r="Z9" s="6" t="n">
        <v>0</v>
      </c>
      <c r="AA9" s="6" t="n">
        <v>0</v>
      </c>
      <c r="AB9" s="6" t="n">
        <v>0</v>
      </c>
    </row>
    <row r="10">
      <c r="A10" s="6" t="n">
        <v>26</v>
      </c>
      <c r="B10" s="6" t="inlineStr">
        <is>
          <t>CDE AWS Account
TSYS
Firewall
Open APIs
TCS Portal
PCI use cases:
1. GetAccountByCard
2. Set/Update PIN
3. Verify PIN
Non-PCI use cases
CDE VPC
X- PLATFORM
Customer
AWS Control plane
IT Admins,
Developers
AWS Control plane
AWS Console
AWS Console
RBConnect Context Diagram
PCI use cases: 
4. GetAccountByANI
Create TSYS Interaction
CNX, GS
Dynatrace
RCI Egress + Firewall
Tech Support
IT Admins,
Developers
No Change
New Integration
Existing
New Integration 
(PCI)
Separate HLD
Out of Scope
New
  Citrix Cloud
RCI MPLS Switch &amp; Firewall
lFirewall
Vendors
(CNX, GS)
Agents
RB
CSR
RB
Ops Mgr
Utility functions
(Report, Routiing, HR-Feed)
Amazon Connect
Rogers Bank Default AWS Account
HIYA Call branding
HIYA
CCReport+HRFeed
HR-Feed
Legends
Email
Office 365
Email
Verification Lambda (Dob, OTC, Phone, PAN)
Lex
Athena
QuickSight
Datalake
RB
Ops Mgr
Other-sources</t>
        </is>
      </c>
      <c r="C10" s="6" t="inlineStr">
        <is>
          <t>architecture, integration, ivr, security</t>
        </is>
      </c>
      <c r="D10" s="6" t="inlineStr">
        <is>
          <t>auto</t>
        </is>
      </c>
      <c r="E10" s="6" t="inlineStr">
        <is>
          <t>default</t>
        </is>
      </c>
      <c r="F10" s="6" t="inlineStr"/>
      <c r="G10" s="6" t="inlineStr">
        <is>
          <t>claude-sonnet-5</t>
        </is>
      </c>
      <c r="H10" s="6" t="inlineStr"/>
      <c r="I10" s="6" t="n">
        <v>1</v>
      </c>
      <c r="J10" s="6" t="n">
        <v>28002</v>
      </c>
      <c r="K10" s="6" t="n">
        <v>6148</v>
      </c>
      <c r="L10" s="6" t="n">
        <v>1718</v>
      </c>
      <c r="M10" s="6" t="n">
        <v>34150</v>
      </c>
      <c r="N10" s="6" t="n">
        <v>10.52295</v>
      </c>
      <c r="O10" s="6" t="n">
        <v>1</v>
      </c>
      <c r="P10" s="6" t="inlineStr">
        <is>
          <t>Yes</t>
        </is>
      </c>
      <c r="Q10" s="6" t="inlineStr">
        <is>
          <t>completed</t>
        </is>
      </c>
      <c r="R10" s="6" t="n">
        <v>819</v>
      </c>
      <c r="S10" s="6" t="n">
        <v>205</v>
      </c>
      <c r="T10" s="6" t="n">
        <v>11344</v>
      </c>
      <c r="U10" s="6" t="n">
        <v>2836</v>
      </c>
      <c r="V10" s="6" t="n">
        <v>493</v>
      </c>
      <c r="W10" s="6" t="n">
        <v>1</v>
      </c>
      <c r="X10" s="6" t="n">
        <v>0</v>
      </c>
      <c r="Y10" s="6" t="n">
        <v>0</v>
      </c>
      <c r="Z10" s="6" t="n">
        <v>0</v>
      </c>
      <c r="AA10" s="6" t="n">
        <v>0</v>
      </c>
      <c r="AB10" s="6" t="n">
        <v>0</v>
      </c>
    </row>
    <row r="11">
      <c r="A11" s="6" t="n">
        <v>27</v>
      </c>
      <c r="B11" s="6" t="inlineStr">
        <is>
          <t>2.1.1 In-Scope Applications</t>
        </is>
      </c>
      <c r="C11" s="6" t="inlineStr">
        <is>
          <t>architecture, integration, ivr, security</t>
        </is>
      </c>
      <c r="D11" s="6" t="inlineStr">
        <is>
          <t>auto</t>
        </is>
      </c>
      <c r="E11" s="6" t="inlineStr">
        <is>
          <t>default</t>
        </is>
      </c>
      <c r="F11" s="6" t="inlineStr"/>
      <c r="G11" s="6" t="inlineStr">
        <is>
          <t>claude-sonnet-5</t>
        </is>
      </c>
      <c r="H11" s="6" t="inlineStr"/>
      <c r="I11" s="6" t="n">
        <v>1</v>
      </c>
      <c r="J11" s="6" t="n">
        <v>23120</v>
      </c>
      <c r="K11" s="6" t="n">
        <v>3143</v>
      </c>
      <c r="L11" s="6" t="n">
        <v>0</v>
      </c>
      <c r="M11" s="6" t="n">
        <v>26263</v>
      </c>
      <c r="N11" s="6" t="n">
        <v>6.29745</v>
      </c>
      <c r="O11" s="6" t="n">
        <v>1</v>
      </c>
      <c r="P11" s="6" t="inlineStr">
        <is>
          <t>No</t>
        </is>
      </c>
      <c r="Q11" s="6" t="inlineStr">
        <is>
          <t>completed</t>
        </is>
      </c>
      <c r="R11" s="6" t="n">
        <v>348</v>
      </c>
      <c r="S11" s="6" t="n">
        <v>87</v>
      </c>
      <c r="T11" s="6" t="n">
        <v>6290</v>
      </c>
      <c r="U11" s="6" t="n">
        <v>1573</v>
      </c>
      <c r="V11" s="6" t="n">
        <v>493</v>
      </c>
      <c r="W11" s="6" t="n">
        <v>0</v>
      </c>
      <c r="X11" s="6" t="n">
        <v>0</v>
      </c>
      <c r="Y11" s="6" t="n">
        <v>0</v>
      </c>
      <c r="Z11" s="6" t="n">
        <v>0</v>
      </c>
      <c r="AA11" s="6" t="n">
        <v>0</v>
      </c>
      <c r="AB11" s="6" t="n">
        <v>0</v>
      </c>
    </row>
    <row r="12">
      <c r="A12" s="6" t="n">
        <v>28</v>
      </c>
      <c r="B12" s="6" t="inlineStr">
        <is>
          <t>2.2 Application Communication</t>
        </is>
      </c>
      <c r="C12" s="6" t="inlineStr">
        <is>
          <t>architecture, integration, ivr, security</t>
        </is>
      </c>
      <c r="D12" s="6" t="inlineStr">
        <is>
          <t>auto</t>
        </is>
      </c>
      <c r="E12" s="6" t="inlineStr">
        <is>
          <t>default</t>
        </is>
      </c>
      <c r="F12" s="6" t="inlineStr"/>
      <c r="G12" s="6" t="inlineStr">
        <is>
          <t>claude-sonnet-5</t>
        </is>
      </c>
      <c r="H12" s="6" t="inlineStr"/>
      <c r="I12" s="6" t="n">
        <v>1</v>
      </c>
      <c r="J12" s="6" t="n">
        <v>23157</v>
      </c>
      <c r="K12" s="6" t="n">
        <v>1300</v>
      </c>
      <c r="L12" s="6" t="n">
        <v>0</v>
      </c>
      <c r="M12" s="6" t="n">
        <v>24457</v>
      </c>
      <c r="N12" s="6" t="n">
        <v>4.4637</v>
      </c>
      <c r="O12" s="6" t="n">
        <v>1</v>
      </c>
      <c r="P12" s="6" t="inlineStr">
        <is>
          <t>No</t>
        </is>
      </c>
      <c r="Q12" s="6" t="inlineStr">
        <is>
          <t>completed</t>
        </is>
      </c>
      <c r="R12" s="6" t="n">
        <v>632</v>
      </c>
      <c r="S12" s="6" t="n">
        <v>158</v>
      </c>
      <c r="T12" s="6" t="n">
        <v>6560</v>
      </c>
      <c r="U12" s="6" t="n">
        <v>1640</v>
      </c>
      <c r="V12" s="6" t="n">
        <v>493</v>
      </c>
      <c r="W12" s="6" t="n">
        <v>0</v>
      </c>
      <c r="X12" s="6" t="n">
        <v>0</v>
      </c>
      <c r="Y12" s="6" t="n">
        <v>0</v>
      </c>
      <c r="Z12" s="6" t="n">
        <v>0</v>
      </c>
      <c r="AA12" s="6" t="n">
        <v>0</v>
      </c>
      <c r="AB12" s="6" t="n">
        <v>0</v>
      </c>
    </row>
    <row r="13">
      <c r="A13" s="6" t="n">
        <v>29</v>
      </c>
      <c r="B13" s="6" t="inlineStr">
        <is>
          <t>Customer
Amazon Connect
1b: Send Email
2b: Route
4a: Receive Emails
AWS CloudWatch
3: Logs, Metrics
Amazon Athena
5a: Fresh / Reply Emails
7a: Route
X-Platform
Middleware 
Ops Manager
8a: Receive email
Data Lake
WFM Reports
Vendors (CNX, GS) Agent / 
Business CSR
Ofice 365
        New Change
SES
2a: Redirect
        New Interaction
1a: Call
Data Generation
Data Query &amp; Visualiation
AWS Glue Data Catelog
QuickSight
AWS LakeFormation
2. GetMetadata
3. Check Permission
4. Get Cred
5.Get Data (Connect Customer)
Ops Manager
s3
6.store
1. fetch
s3
AWS Data Export
AWS Data Export
(acc-PCI)
A. Export
5a. GetData (AWS Cost)
AWS CloudWatch
log-group (connect)
5b.GetData (IVR)</t>
        </is>
      </c>
      <c r="C13" s="6" t="inlineStr">
        <is>
          <t>architecture, integration, ivr, security</t>
        </is>
      </c>
      <c r="D13" s="6" t="inlineStr">
        <is>
          <t>auto</t>
        </is>
      </c>
      <c r="E13" s="6" t="inlineStr">
        <is>
          <t>default</t>
        </is>
      </c>
      <c r="F13" s="6" t="inlineStr"/>
      <c r="G13" s="6" t="inlineStr">
        <is>
          <t>claude-sonnet-5</t>
        </is>
      </c>
      <c r="H13" s="6" t="inlineStr"/>
      <c r="I13" s="6" t="n">
        <v>1</v>
      </c>
      <c r="J13" s="6" t="n">
        <v>30249</v>
      </c>
      <c r="K13" s="6" t="n">
        <v>5397</v>
      </c>
      <c r="L13" s="6" t="n">
        <v>830</v>
      </c>
      <c r="M13" s="6" t="n">
        <v>35646</v>
      </c>
      <c r="N13" s="6" t="n">
        <v>10.3337</v>
      </c>
      <c r="O13" s="6" t="n">
        <v>1</v>
      </c>
      <c r="P13" s="6" t="inlineStr">
        <is>
          <t>Yes</t>
        </is>
      </c>
      <c r="Q13" s="6" t="inlineStr">
        <is>
          <t>completed</t>
        </is>
      </c>
      <c r="R13" s="6" t="n">
        <v>653</v>
      </c>
      <c r="S13" s="6" t="n">
        <v>164</v>
      </c>
      <c r="T13" s="6" t="n">
        <v>10155</v>
      </c>
      <c r="U13" s="6" t="n">
        <v>2539</v>
      </c>
      <c r="V13" s="6" t="n">
        <v>493</v>
      </c>
      <c r="W13" s="6" t="n">
        <v>1</v>
      </c>
      <c r="X13" s="6" t="n">
        <v>0</v>
      </c>
      <c r="Y13" s="6" t="n">
        <v>0</v>
      </c>
      <c r="Z13" s="6" t="n">
        <v>0</v>
      </c>
      <c r="AA13" s="6" t="n">
        <v>0</v>
      </c>
      <c r="AB13" s="6" t="n">
        <v>0</v>
      </c>
    </row>
  </sheetData>
  <autoFilter ref="A1:Z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showGridLines="0" workbookViewId="0">
      <pane ySplit="1" topLeftCell="A2" activePane="bottomLeft" state="frozen"/>
      <selection pane="bottomLeft" activeCell="A1" sqref="A1"/>
    </sheetView>
  </sheetViews>
  <sheetFormatPr baseColWidth="8" defaultRowHeight="15"/>
  <cols>
    <col width="22" customWidth="1" min="1" max="1"/>
    <col width="12" customWidth="1" min="2" max="2"/>
    <col width="14" customWidth="1" min="3" max="3"/>
    <col width="16" customWidth="1" min="4" max="4"/>
    <col width="16" customWidth="1" min="5" max="5"/>
    <col width="18" customWidth="1" min="6" max="6"/>
    <col width="14" customWidth="1" min="7" max="7"/>
    <col width="35" customWidth="1" min="8" max="8"/>
  </cols>
  <sheetData>
    <row r="1" ht="28" customHeight="1">
      <c r="A1" s="5" t="inlineStr">
        <is>
          <t>Requested Auto Tier</t>
        </is>
      </c>
      <c r="B1" s="5" t="inlineStr">
        <is>
          <t>Sections</t>
        </is>
      </c>
      <c r="C1" s="5" t="inlineStr">
        <is>
          <t>Model Calls</t>
        </is>
      </c>
      <c r="D1" s="5" t="inlineStr">
        <is>
          <t>Input Tokens</t>
        </is>
      </c>
      <c r="E1" s="5" t="inlineStr">
        <is>
          <t>Output Tokens</t>
        </is>
      </c>
      <c r="F1" s="5" t="inlineStr">
        <is>
          <t>Reasoning Tokens</t>
        </is>
      </c>
      <c r="G1" s="5" t="inlineStr">
        <is>
          <t>AI Credits</t>
        </is>
      </c>
      <c r="H1" s="5" t="inlineStr">
        <is>
          <t>Actual Models</t>
        </is>
      </c>
    </row>
    <row r="2">
      <c r="A2" s="6" t="inlineStr">
        <is>
          <t>default</t>
        </is>
      </c>
      <c r="B2" s="6" t="n">
        <v>12</v>
      </c>
      <c r="C2" s="6" t="n">
        <v>12</v>
      </c>
      <c r="D2" s="6" t="n">
        <v>289800</v>
      </c>
      <c r="E2" s="6" t="n">
        <v>39911</v>
      </c>
      <c r="F2" s="6" t="n">
        <v>2548</v>
      </c>
      <c r="G2" s="6" t="n">
        <v>83.47985</v>
      </c>
      <c r="H2" s="6" t="inlineStr">
        <is>
          <t>claude-sonnet-5</t>
        </is>
      </c>
    </row>
  </sheetData>
  <autoFilter ref="A1:H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
  <sheetViews>
    <sheetView showGridLines="0"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32" customWidth="1" min="4" max="4"/>
  </cols>
  <sheetData>
    <row r="1" ht="28" customHeight="1">
      <c r="A1" s="5" t="inlineStr">
        <is>
          <t>Scope</t>
        </is>
      </c>
      <c r="B1" s="5" t="inlineStr">
        <is>
          <t>Sections Reviewed</t>
        </is>
      </c>
      <c r="C1" s="5" t="inlineStr">
        <is>
          <t>Shared Model Calls</t>
        </is>
      </c>
      <c r="D1" s="5" t="inlineStr">
        <is>
          <t>Attribution</t>
        </is>
      </c>
    </row>
    <row r="2">
      <c r="A2" s="6" t="inlineStr">
        <is>
          <t>architecture</t>
        </is>
      </c>
      <c r="B2" s="6" t="n">
        <v>12</v>
      </c>
      <c r="C2" s="6" t="n">
        <v>12</v>
      </c>
      <c r="D2" s="6" t="inlineStr">
        <is>
          <t>shared-section-call</t>
        </is>
      </c>
    </row>
    <row r="3">
      <c r="A3" s="6" t="inlineStr">
        <is>
          <t>integration</t>
        </is>
      </c>
      <c r="B3" s="6" t="n">
        <v>12</v>
      </c>
      <c r="C3" s="6" t="n">
        <v>12</v>
      </c>
      <c r="D3" s="6" t="inlineStr">
        <is>
          <t>shared-section-call</t>
        </is>
      </c>
    </row>
    <row r="4">
      <c r="A4" s="6" t="inlineStr">
        <is>
          <t>ivr</t>
        </is>
      </c>
      <c r="B4" s="6" t="n">
        <v>12</v>
      </c>
      <c r="C4" s="6" t="n">
        <v>12</v>
      </c>
      <c r="D4" s="6" t="inlineStr">
        <is>
          <t>shared-section-call</t>
        </is>
      </c>
    </row>
    <row r="5">
      <c r="A5" s="6" t="inlineStr">
        <is>
          <t>security</t>
        </is>
      </c>
      <c r="B5" s="6" t="n">
        <v>12</v>
      </c>
      <c r="C5" s="6" t="n">
        <v>12</v>
      </c>
      <c r="D5" s="6" t="inlineStr">
        <is>
          <t>shared-section-call</t>
        </is>
      </c>
    </row>
  </sheetData>
  <autoFilter ref="A1:D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
  <sheetViews>
    <sheetView showGridLines="0"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6" customWidth="1" min="4" max="4"/>
    <col width="18" customWidth="1" min="5" max="5"/>
    <col width="16" customWidth="1" min="6" max="6"/>
  </cols>
  <sheetData>
    <row r="1" ht="28" customHeight="1">
      <c r="A1" s="5" t="inlineStr">
        <is>
          <t>Model</t>
        </is>
      </c>
      <c r="B1" s="5" t="inlineStr">
        <is>
          <t>Calls</t>
        </is>
      </c>
      <c r="C1" s="5" t="inlineStr">
        <is>
          <t>Input Tokens</t>
        </is>
      </c>
      <c r="D1" s="5" t="inlineStr">
        <is>
          <t>Output Tokens</t>
        </is>
      </c>
      <c r="E1" s="5" t="inlineStr">
        <is>
          <t>Reasoning Tokens</t>
        </is>
      </c>
      <c r="F1" s="5" t="inlineStr">
        <is>
          <t>AI Credits</t>
        </is>
      </c>
    </row>
    <row r="2">
      <c r="A2" s="6" t="inlineStr">
        <is>
          <t>claude-sonnet-5</t>
        </is>
      </c>
      <c r="B2" s="6" t="n">
        <v>12</v>
      </c>
      <c r="C2" s="6" t="n">
        <v>289800</v>
      </c>
      <c r="D2" s="6" t="n">
        <v>39911</v>
      </c>
      <c r="E2" s="6" t="n">
        <v>2548</v>
      </c>
      <c r="F2" s="6" t="n">
        <v>83.47985</v>
      </c>
    </row>
  </sheetData>
  <autoFilter ref="A1:F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showGridLines="0" workbookViewId="0">
      <pane ySplit="1" topLeftCell="A2" activePane="bottomLeft" state="frozen"/>
      <selection pane="bottomLeft" activeCell="A1" sqref="A1"/>
    </sheetView>
  </sheetViews>
  <sheetFormatPr baseColWidth="8" defaultRowHeight="15"/>
  <cols>
    <col width="110" customWidth="1" min="1" max="1"/>
  </cols>
  <sheetData>
    <row r="1" ht="28" customHeight="1">
      <c r="A1" s="5" t="inlineStr">
        <is>
          <t>Note</t>
        </is>
      </c>
    </row>
    <row r="2">
      <c r="A2" s="6" t="inlineStr">
        <is>
          <t>The current export is built from the completed review result. Section-level review evidence and AI telemetry are included; full Phase-1 inventory can be added when required.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s="3" t="inlineStr">
        <is>
          <t>Report Notes</t>
        </is>
      </c>
    </row>
    <row r="2">
      <c r="A2" s="3" t="inlineStr">
        <is>
          <t>Actual model/token usage is sourced from Copilot SDK telemetry when available.</t>
        </is>
      </c>
    </row>
    <row r="3">
      <c r="A3" s="3" t="inlineStr">
        <is>
          <t>Source/prompt token values marked as estimated are diagnostics only, not billing values.</t>
        </is>
      </c>
    </row>
    <row r="4">
      <c r="A4" s="3" t="inlineStr">
        <is>
          <t>When multiple review scopes share one section-level Copilot turn, usage is reported at the section/call level and is not artificially divided across scopes.</t>
        </is>
      </c>
    </row>
    <row r="5">
      <c r="A5" s="3" t="inlineStr">
        <is>
          <t>The application selects an Auto routing tier (efficiency, balance, or intelligence) based on content type, visual evidence, and selected review scopes; GitHub Copilot Auto selects the actual model.</t>
        </is>
      </c>
    </row>
    <row r="6">
      <c r="A6" s="3" t="inlineStr">
        <is>
          <t>Actual model and effective Auto tier are captured from Copilot SDK session telemetry where available. Requested tier is an application routing preference, not an assertion of the model selected.</t>
        </is>
      </c>
    </row>
    <row r="7">
      <c r="A7" s="3" t="inlineStr">
        <is>
          <t>SDK AI credits are shown as a convenience conversion from totalNanoAiu; validate current GitHub billing semantics before using for accounting.</t>
        </is>
      </c>
    </row>
    <row r="8">
      <c r="A8" s="3" t="inlineStr">
        <is>
          <t>Review failures are separated from findings and do not imply 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2026-09-21T15:40:55Z</dcterms:created>
  <dcterms:modified xsi:type="dcterms:W3CDTF">2026-09-21T15:40:55Z</dcterms:modified>
</cp:coreProperties>
</file>